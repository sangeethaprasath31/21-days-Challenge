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91875\Documents\Data Analyst Course\21 days challenge\"/>
    </mc:Choice>
  </mc:AlternateContent>
  <xr:revisionPtr revIDLastSave="0" documentId="13_ncr:1_{6BD6BB8E-E303-4259-A949-F39662064D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ns perfume" sheetId="1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T15" i="1"/>
  <c r="T14" i="1"/>
  <c r="T13" i="1"/>
  <c r="K2" i="1"/>
  <c r="K5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Y8" i="1"/>
  <c r="X8" i="1"/>
  <c r="W8" i="1"/>
  <c r="V8" i="1"/>
  <c r="U8" i="1"/>
  <c r="T8" i="1"/>
  <c r="S8" i="1"/>
  <c r="Q1002" i="1"/>
</calcChain>
</file>

<file path=xl/sharedStrings.xml><?xml version="1.0" encoding="utf-8"?>
<sst xmlns="http://schemas.openxmlformats.org/spreadsheetml/2006/main" count="5986" uniqueCount="3001">
  <si>
    <t>priceWithCurrency</t>
  </si>
  <si>
    <t>availableText</t>
  </si>
  <si>
    <t>sold</t>
  </si>
  <si>
    <t>Dior</t>
  </si>
  <si>
    <t>Eau de Parfum</t>
  </si>
  <si>
    <t>US $84.99/ea</t>
  </si>
  <si>
    <t>More than 10 available / 116 sold</t>
  </si>
  <si>
    <t>May 24, 2024 10:03:04 PDT</t>
  </si>
  <si>
    <t>Allen Park, Michigan, United States</t>
  </si>
  <si>
    <t>AS SHOW</t>
  </si>
  <si>
    <t>US $109.99</t>
  </si>
  <si>
    <t>8 available / 48 sold</t>
  </si>
  <si>
    <t>May 23, 2024 23:07:49 PDT</t>
  </si>
  <si>
    <t>Atlanta, Georgia, Canada</t>
  </si>
  <si>
    <t>Unbranded</t>
  </si>
  <si>
    <t>Eau de Toilette</t>
  </si>
  <si>
    <t>US $100.00</t>
  </si>
  <si>
    <t>More than 10 available / 27 sold</t>
  </si>
  <si>
    <t>May 22, 2024 21:55:43 PDT</t>
  </si>
  <si>
    <t>Dearborn, Michigan, United States</t>
  </si>
  <si>
    <t>Giorgio Armani</t>
  </si>
  <si>
    <t>US $44.99/ea</t>
  </si>
  <si>
    <t>2 available / 159 sold</t>
  </si>
  <si>
    <t>May 24, 2024 03:30:43 PDT</t>
  </si>
  <si>
    <t>Reinholds, Pennsylvania, United States</t>
  </si>
  <si>
    <t>Lattafa</t>
  </si>
  <si>
    <t>Fragrances</t>
  </si>
  <si>
    <t>US $16.91</t>
  </si>
  <si>
    <t>Limited quantity available / 156 sold</t>
  </si>
  <si>
    <t>May 24, 2024 07:56:25 PDT</t>
  </si>
  <si>
    <t>Brooklyn, New York, United States</t>
  </si>
  <si>
    <t>Multiple Brands</t>
  </si>
  <si>
    <t>Perfume</t>
  </si>
  <si>
    <t>US $14.99</t>
  </si>
  <si>
    <t>More than 10 available / 79 sold</t>
  </si>
  <si>
    <t>May 23, 2024 06:57:41 PDT</t>
  </si>
  <si>
    <t>Houston, Texas, United States</t>
  </si>
  <si>
    <t>Maison Alhambra</t>
  </si>
  <si>
    <t>US $30.99/ea</t>
  </si>
  <si>
    <t>9 available / 39 sold</t>
  </si>
  <si>
    <t>May 16, 2024 13:42:49 PDT</t>
  </si>
  <si>
    <t>Englewood Cliffs, New Jersey, United States</t>
  </si>
  <si>
    <t>US $85.00</t>
  </si>
  <si>
    <t>Last One / 6 sold</t>
  </si>
  <si>
    <t>May 24, 2024 00:10:39 PDT</t>
  </si>
  <si>
    <t>Ithaca, New York, United States</t>
  </si>
  <si>
    <t>/</t>
  </si>
  <si>
    <t>US $15.89</t>
  </si>
  <si>
    <t>10 available / 17 sold</t>
  </si>
  <si>
    <t>May 24, 2024 09:08:14 PDT</t>
  </si>
  <si>
    <t>shanghai, China</t>
  </si>
  <si>
    <t>Gucci</t>
  </si>
  <si>
    <t>US $49.99/ea</t>
  </si>
  <si>
    <t>8 available / 68 sold</t>
  </si>
  <si>
    <t>May 23, 2024 07:21:23 PDT</t>
  </si>
  <si>
    <t>Dearborn Heights, Michigan, United States</t>
  </si>
  <si>
    <t>Ralph Lauren</t>
  </si>
  <si>
    <t>US $34.99/ea</t>
  </si>
  <si>
    <t>More than 10 available / 615 sold</t>
  </si>
  <si>
    <t>May 24, 2024 07:53:23 PDT</t>
  </si>
  <si>
    <t>Ecorse, Michigan, United States</t>
  </si>
  <si>
    <t>Dolce&amp;Gabbana</t>
  </si>
  <si>
    <t>US $29.95/ea</t>
  </si>
  <si>
    <t>7 available / 458 sold</t>
  </si>
  <si>
    <t>May 23, 2024 08:37:49 PDT</t>
  </si>
  <si>
    <t>Warren, Michigan, United States</t>
  </si>
  <si>
    <t>SECERTMU</t>
  </si>
  <si>
    <t>US $15.99</t>
  </si>
  <si>
    <t>More than 10 available / 889 sold</t>
  </si>
  <si>
    <t>May 21, 2024 19:20:12 PDT</t>
  </si>
  <si>
    <t>San Francisco, California, United States</t>
  </si>
  <si>
    <t>As Show</t>
  </si>
  <si>
    <t>US $59.99/ea</t>
  </si>
  <si>
    <t>9 available / 63 sold</t>
  </si>
  <si>
    <t>May 23, 2024 03:08:18 PDT</t>
  </si>
  <si>
    <t>Dayton,New Jersey, Hong Kong</t>
  </si>
  <si>
    <t>Versace</t>
  </si>
  <si>
    <t>7 available / 136 sold</t>
  </si>
  <si>
    <t>May 24, 2024 00:02:27 PDT</t>
  </si>
  <si>
    <t>Paco Rabanne</t>
  </si>
  <si>
    <t>PARFUM</t>
  </si>
  <si>
    <t>US $68.99/ea</t>
  </si>
  <si>
    <t>2 available / 20 sold</t>
  </si>
  <si>
    <t>May 24, 2024 02:41:49 PDT</t>
  </si>
  <si>
    <t>San Jose, California, United States</t>
  </si>
  <si>
    <t>Grandeur</t>
  </si>
  <si>
    <t>US $37.99</t>
  </si>
  <si>
    <t>More than 10 available / 44 sold</t>
  </si>
  <si>
    <t>May 24, 2024 08:14:43 PDT</t>
  </si>
  <si>
    <t>Miami, Florida, United States</t>
  </si>
  <si>
    <t>Armaf</t>
  </si>
  <si>
    <t>US $29.99/ea</t>
  </si>
  <si>
    <t>5 available / 384 sold</t>
  </si>
  <si>
    <t>May 24, 2024 05:13:20 PDT</t>
  </si>
  <si>
    <t>Hamtramck, Michigan, United States</t>
  </si>
  <si>
    <t>Carolina Herrera</t>
  </si>
  <si>
    <t>US $39.99/ea</t>
  </si>
  <si>
    <t>More than 10 available / 236 sold</t>
  </si>
  <si>
    <t>May 23, 2024 08:48:22 PDT</t>
  </si>
  <si>
    <t>Flat Lick, Kentucky, United States</t>
  </si>
  <si>
    <t>US $83.95</t>
  </si>
  <si>
    <t>4 available / 22 sold</t>
  </si>
  <si>
    <t>May 22, 2024 14:31:55 PDT</t>
  </si>
  <si>
    <t>Elmhurst, New York, United States</t>
  </si>
  <si>
    <t>Dolce &amp; Gabbana</t>
  </si>
  <si>
    <t>US $29.94/ea</t>
  </si>
  <si>
    <t>Limited quantity available / 9,208 sold</t>
  </si>
  <si>
    <t>May 23, 2024 20:04:11 PDT</t>
  </si>
  <si>
    <t>Hackensack, New Jersey, United States</t>
  </si>
  <si>
    <t>Clinique</t>
  </si>
  <si>
    <t>US $21.99/ea</t>
  </si>
  <si>
    <t>4 available / 86 sold</t>
  </si>
  <si>
    <t>May 21, 2024 14:28:23 PDT</t>
  </si>
  <si>
    <t>Dumont</t>
  </si>
  <si>
    <t>US $49.99</t>
  </si>
  <si>
    <t>3 available / 187 sold</t>
  </si>
  <si>
    <t>May 24, 2024 09:02:39 PDT</t>
  </si>
  <si>
    <t>Afnan</t>
  </si>
  <si>
    <t>US $33.70</t>
  </si>
  <si>
    <t>More than 10 available / 131 sold</t>
  </si>
  <si>
    <t>May 21, 2024 14:00:54 PDT</t>
  </si>
  <si>
    <t>Dallas, Texas, United States</t>
  </si>
  <si>
    <t>US $35.99</t>
  </si>
  <si>
    <t>2 available / 43 sold</t>
  </si>
  <si>
    <t>May 24, 2024 00:13:55 PDT</t>
  </si>
  <si>
    <t>Pomona, California, United States</t>
  </si>
  <si>
    <t>Azzaro</t>
  </si>
  <si>
    <t>Parfum</t>
  </si>
  <si>
    <t>US $89.97/ea</t>
  </si>
  <si>
    <t>10 available / 920 sold</t>
  </si>
  <si>
    <t>May 24, 2024 08:32:16 PDT</t>
  </si>
  <si>
    <t>Katy, Texas, United States</t>
  </si>
  <si>
    <t>US $92.99</t>
  </si>
  <si>
    <t>5 available / 19 sold</t>
  </si>
  <si>
    <t>May 24, 2024 00:01:17 PDT</t>
  </si>
  <si>
    <t>College Point, New York, United States</t>
  </si>
  <si>
    <t>US $87.99</t>
  </si>
  <si>
    <t>2 available / 4 sold</t>
  </si>
  <si>
    <t>NEW YORK, United States</t>
  </si>
  <si>
    <t>US $119.99</t>
  </si>
  <si>
    <t>10 available / 34 sold</t>
  </si>
  <si>
    <t>May 24, 2024 07:16:53 PDT</t>
  </si>
  <si>
    <t>New York,USA, Hong Kong</t>
  </si>
  <si>
    <t>Penhaligon's</t>
  </si>
  <si>
    <t>US $99.99</t>
  </si>
  <si>
    <t>Last One / 30 sold</t>
  </si>
  <si>
    <t>May 20, 2024 04:16:27 PDT</t>
  </si>
  <si>
    <t>Brenham, Texas, United States</t>
  </si>
  <si>
    <t>Bharara</t>
  </si>
  <si>
    <t>US $51.91/ea</t>
  </si>
  <si>
    <t>4 available / 47 sold</t>
  </si>
  <si>
    <t>May 19, 2024 13:15:33 PDT</t>
  </si>
  <si>
    <t>Richmond Hill, New York, United States</t>
  </si>
  <si>
    <t>8 available / 170 sold</t>
  </si>
  <si>
    <t>May 23, 2024 07:03:35 PDT</t>
  </si>
  <si>
    <t>Dexter, Michigan, United States</t>
  </si>
  <si>
    <t>US $32.85/ea</t>
  </si>
  <si>
    <t>More than 10 available / 8,385 sold</t>
  </si>
  <si>
    <t>May 17, 2024 15:41:45 PDT</t>
  </si>
  <si>
    <t>Valentino</t>
  </si>
  <si>
    <t>10 available / 295 sold</t>
  </si>
  <si>
    <t>May 24, 2024 08:44:55 PDT</t>
  </si>
  <si>
    <t>Guy Laroche</t>
  </si>
  <si>
    <t>US $16.98/ea</t>
  </si>
  <si>
    <t>620 available / 2,345 sold</t>
  </si>
  <si>
    <t>May 23, 2024 18:45:23 PDT</t>
  </si>
  <si>
    <t>Montblanc</t>
  </si>
  <si>
    <t>US $32.89/ea</t>
  </si>
  <si>
    <t>383 available / 5,032 sold</t>
  </si>
  <si>
    <t>May 21, 2024 07:59:07 PDT</t>
  </si>
  <si>
    <t>Rasasi</t>
  </si>
  <si>
    <t>US $45.11</t>
  </si>
  <si>
    <t>Limited quantity available / 258 sold</t>
  </si>
  <si>
    <t>May 24, 2024 09:50:28 PDT</t>
  </si>
  <si>
    <t>US $19.73</t>
  </si>
  <si>
    <t>Limited quantity available / 55 sold</t>
  </si>
  <si>
    <t>May 24, 2024 07:02:34 PDT</t>
  </si>
  <si>
    <t>8 available / 276 sold</t>
  </si>
  <si>
    <t>May 24, 2024 06:26:11 PDT</t>
  </si>
  <si>
    <t>Phoenix, Arizona, United States</t>
  </si>
  <si>
    <t>Calvin Klein</t>
  </si>
  <si>
    <t>US $40.60/ea</t>
  </si>
  <si>
    <t>Limited quantity available / 5,582 sold</t>
  </si>
  <si>
    <t>May 24, 2024 09:35:06 PDT</t>
  </si>
  <si>
    <t>UOMO</t>
  </si>
  <si>
    <t>US $54.99</t>
  </si>
  <si>
    <t>Last One / 8 sold</t>
  </si>
  <si>
    <t>May 22, 2024 19:02:53 PDT</t>
  </si>
  <si>
    <t>Peekskill, New York, United States</t>
  </si>
  <si>
    <t>US $40.99</t>
  </si>
  <si>
    <t>More than 10 available / 37 sold</t>
  </si>
  <si>
    <t>May 22, 2024 00:25:54 PDT</t>
  </si>
  <si>
    <t>US $34.84/ea</t>
  </si>
  <si>
    <t>Limited quantity available / 4,460 sold</t>
  </si>
  <si>
    <t>May 24, 2024 07:32:37 PDT</t>
  </si>
  <si>
    <t>Givenchy</t>
  </si>
  <si>
    <t>US $34.72/ea</t>
  </si>
  <si>
    <t>71 available / 627 sold</t>
  </si>
  <si>
    <t>May 24, 2024 10:20:09 PDT</t>
  </si>
  <si>
    <t>US $46.33/ea</t>
  </si>
  <si>
    <t>Limited quantity available / 30,655 sold</t>
  </si>
  <si>
    <t>May 24, 2024 07:58:01 PDT</t>
  </si>
  <si>
    <t>US $39.00</t>
  </si>
  <si>
    <t>3 available / 24 sold</t>
  </si>
  <si>
    <t>May 22, 2024 10:17:56 PDT</t>
  </si>
  <si>
    <t>US $21.54/ea</t>
  </si>
  <si>
    <t>96 available / 989 sold</t>
  </si>
  <si>
    <t>May 24, 2024 06:21:20 PDT</t>
  </si>
  <si>
    <t>Polo Ralph Lauren</t>
  </si>
  <si>
    <t>US $32.97/ea</t>
  </si>
  <si>
    <t>1,756 available / 5,023 sold</t>
  </si>
  <si>
    <t>May 24, 2024 07:57:49 PDT</t>
  </si>
  <si>
    <t>US $23.34/ea</t>
  </si>
  <si>
    <t>452 available / 972 sold</t>
  </si>
  <si>
    <t>May 24, 2024 08:09:10 PDT</t>
  </si>
  <si>
    <t>C.K</t>
  </si>
  <si>
    <t>US $28.75</t>
  </si>
  <si>
    <t>Limited quantity available / 12,739 sold</t>
  </si>
  <si>
    <t>May 24, 2024 08:44:02 PDT</t>
  </si>
  <si>
    <t>John Varvatos</t>
  </si>
  <si>
    <t>US $27.94/ea</t>
  </si>
  <si>
    <t>161 available / 485 sold</t>
  </si>
  <si>
    <t>May 23, 2024 12:42:34 PDT</t>
  </si>
  <si>
    <t>US $32.50</t>
  </si>
  <si>
    <t>5 available / 372 sold</t>
  </si>
  <si>
    <t>May 23, 2024 17:14:52 PDT</t>
  </si>
  <si>
    <t>Edison, New Jersey, United States</t>
  </si>
  <si>
    <t>Nautica</t>
  </si>
  <si>
    <t>3 available / 291 sold</t>
  </si>
  <si>
    <t>May 23, 2024 10:21:16 PDT</t>
  </si>
  <si>
    <t>Armada, Michigan, United States</t>
  </si>
  <si>
    <t>US $45.95</t>
  </si>
  <si>
    <t>5 available / 578 sold</t>
  </si>
  <si>
    <t>May 23, 2024 19:16:37 PDT</t>
  </si>
  <si>
    <t>Kalamazoo, Michigan, United States</t>
  </si>
  <si>
    <t>2 available / 99 sold</t>
  </si>
  <si>
    <t>May 24, 2024 02:15:09 PDT</t>
  </si>
  <si>
    <t>Charlotte, North Carolina, United States</t>
  </si>
  <si>
    <t>As Picture Show</t>
  </si>
  <si>
    <t>US $69.99</t>
  </si>
  <si>
    <t>56 available / 44 sold</t>
  </si>
  <si>
    <t>Apr 23, 2024 20:25:43 PDT</t>
  </si>
  <si>
    <t>Dayton, New Jersey, United States</t>
  </si>
  <si>
    <t>US $13.99</t>
  </si>
  <si>
    <t>More than 10 available / 290 sold</t>
  </si>
  <si>
    <t>May 21, 2024 19:21:49 PDT</t>
  </si>
  <si>
    <t>US $36.88/ea</t>
  </si>
  <si>
    <t>Limited quantity available / 19,899 sold</t>
  </si>
  <si>
    <t>May 24, 2024 09:36:54 PDT</t>
  </si>
  <si>
    <t>Kenneth Cole</t>
  </si>
  <si>
    <t>US $24.70/ea</t>
  </si>
  <si>
    <t>Limited quantity available / 12,865 sold</t>
  </si>
  <si>
    <t>May 23, 2024 00:24:59 PDT</t>
  </si>
  <si>
    <t>Tommy Hilfiger</t>
  </si>
  <si>
    <t>US $26.11/ea</t>
  </si>
  <si>
    <t>4 available / 12,184 sold</t>
  </si>
  <si>
    <t>May 23, 2024 13:00:07 PDT</t>
  </si>
  <si>
    <t>More than 10 available / 172 sold</t>
  </si>
  <si>
    <t>May 24, 2024 10:16:08 PDT</t>
  </si>
  <si>
    <t>Perth Amboy, New Jersey, United States</t>
  </si>
  <si>
    <t>2nd To None</t>
  </si>
  <si>
    <t>Concentrated Uncut Pure Body Oil</t>
  </si>
  <si>
    <t>US $6.65</t>
  </si>
  <si>
    <t>9 available / 18,882 sold</t>
  </si>
  <si>
    <t>May 21, 2024 19:14:49 PDT</t>
  </si>
  <si>
    <t>LaGrange, Georgia, United States</t>
  </si>
  <si>
    <t>US $25.99/ea</t>
  </si>
  <si>
    <t>6 available / 1,332 sold</t>
  </si>
  <si>
    <t>May 24, 2024 04:03:31 PDT</t>
  </si>
  <si>
    <t>Cranston, Rhode Island, United States</t>
  </si>
  <si>
    <t>Yves Saint Laurent</t>
  </si>
  <si>
    <t>LE PARFUM</t>
  </si>
  <si>
    <t>US $60.99/ea</t>
  </si>
  <si>
    <t>2 available / 35 sold</t>
  </si>
  <si>
    <t>May 24, 2024 07:11:06 PDT</t>
  </si>
  <si>
    <t>Las Vegas, Nevada, United States</t>
  </si>
  <si>
    <t>Eau De Parfum</t>
  </si>
  <si>
    <t>US $47.88/ea</t>
  </si>
  <si>
    <t>More than 10 available / 25 sold</t>
  </si>
  <si>
    <t>May 23, 2024 20:46:56 PDT</t>
  </si>
  <si>
    <t>Sacramento, California, United States</t>
  </si>
  <si>
    <t>US $31.08/ea</t>
  </si>
  <si>
    <t>842 available / 1,362 sold</t>
  </si>
  <si>
    <t>May 21, 2024 23:15:46 PDT</t>
  </si>
  <si>
    <t>US $24.43</t>
  </si>
  <si>
    <t>Limited quantity available / 110 sold</t>
  </si>
  <si>
    <t>May 23, 2024 16:44:49 PDT</t>
  </si>
  <si>
    <t>US $35.99/ea</t>
  </si>
  <si>
    <t>5 available / 221 sold</t>
  </si>
  <si>
    <t>May 24, 2024 00:47:14 PDT</t>
  </si>
  <si>
    <t>Dayton, New Jersey, Canada</t>
  </si>
  <si>
    <t>US $25.99</t>
  </si>
  <si>
    <t>More than 10 available / 3 sold</t>
  </si>
  <si>
    <t>May 19, 2024 15:48:43 PDT</t>
  </si>
  <si>
    <t>Windsor Mill, Maryland, United States</t>
  </si>
  <si>
    <t>US $38.57/ea</t>
  </si>
  <si>
    <t>484 available / 1,503 sold</t>
  </si>
  <si>
    <t>May 22, 2024 17:31:34 PDT</t>
  </si>
  <si>
    <t>US $24.45/ea</t>
  </si>
  <si>
    <t>Limited quantity available / 1,691 sold</t>
  </si>
  <si>
    <t>May 22, 2024 22:47:05 PDT</t>
  </si>
  <si>
    <t>US $16.26/ea</t>
  </si>
  <si>
    <t>12 available / 644 sold</t>
  </si>
  <si>
    <t>May 20, 2024 07:59:19 PDT</t>
  </si>
  <si>
    <t>US $22.50</t>
  </si>
  <si>
    <t>More than 10 available / 2 sold</t>
  </si>
  <si>
    <t>Mesa, Arizona, United States</t>
  </si>
  <si>
    <t>US $15.03</t>
  </si>
  <si>
    <t>3 available / 44 sold</t>
  </si>
  <si>
    <t>May 24, 2024 05:02:25 PDT</t>
  </si>
  <si>
    <t>US $8.32/ea</t>
  </si>
  <si>
    <t>1,322 available / 417 sold</t>
  </si>
  <si>
    <t>May 23, 2024 08:22:19 PDT</t>
  </si>
  <si>
    <t>US $37.80/ea</t>
  </si>
  <si>
    <t>8 available / 300 sold</t>
  </si>
  <si>
    <t>May 23, 2024 09:23:09 PDT</t>
  </si>
  <si>
    <t>West Orange, New Jersey, United States</t>
  </si>
  <si>
    <t>US $23.56/ea</t>
  </si>
  <si>
    <t>Limited quantity available / 24,048 sold</t>
  </si>
  <si>
    <t>May 23, 2024 08:46:31 PDT</t>
  </si>
  <si>
    <t>US $27.59/ea</t>
  </si>
  <si>
    <t>1,323 available / 4,972 sold</t>
  </si>
  <si>
    <t>May 17, 2024 15:16:24 PDT</t>
  </si>
  <si>
    <t>US $26.50</t>
  </si>
  <si>
    <t>3 available / 3 sold</t>
  </si>
  <si>
    <t>May 22, 2024 18:18:03 PDT</t>
  </si>
  <si>
    <t>Henrico, Virginia, United States</t>
  </si>
  <si>
    <t>US $35.71</t>
  </si>
  <si>
    <t>3 available / 36 sold</t>
  </si>
  <si>
    <t>May 24, 2024 06:58:53 PDT</t>
  </si>
  <si>
    <t>More than 10 available / 594 sold</t>
  </si>
  <si>
    <t>May 24, 2024 09:12:14 PDT</t>
  </si>
  <si>
    <t>US $23.89/ea</t>
  </si>
  <si>
    <t>Limited quantity available / 54,052 sold</t>
  </si>
  <si>
    <t>May 24, 2024 03:59:39 PDT</t>
  </si>
  <si>
    <t>Cologne</t>
  </si>
  <si>
    <t>US $10.99/ea</t>
  </si>
  <si>
    <t>More than 10 available / 179 sold</t>
  </si>
  <si>
    <t>May 18, 2024 14:39:08 PDT</t>
  </si>
  <si>
    <t>US $70.99/ea</t>
  </si>
  <si>
    <t>2 available / 52 sold</t>
  </si>
  <si>
    <t>May 23, 2024 16:50:30 PDT</t>
  </si>
  <si>
    <t>Pfafftown, North Carolina, United States</t>
  </si>
  <si>
    <t>US $16.99</t>
  </si>
  <si>
    <t>More than 10 available / 404 sold</t>
  </si>
  <si>
    <t>Apr 29, 2024 18:02:01 PDT</t>
  </si>
  <si>
    <t>CA, United States</t>
  </si>
  <si>
    <t>AS SHOWN</t>
  </si>
  <si>
    <t>US $126.99</t>
  </si>
  <si>
    <t>Last One / 32 sold</t>
  </si>
  <si>
    <t>May 21, 2024 22:40:20 PDT</t>
  </si>
  <si>
    <t>USA,California, Hong Kong</t>
  </si>
  <si>
    <t>Roja</t>
  </si>
  <si>
    <t>US $159.99/ea</t>
  </si>
  <si>
    <t>More than 10 available / 30 sold</t>
  </si>
  <si>
    <t>May 21, 2024 18:00:42 PDT</t>
  </si>
  <si>
    <t>New York, New York, Taiwan</t>
  </si>
  <si>
    <t>MetaHerbal Labs</t>
  </si>
  <si>
    <t>Unscented</t>
  </si>
  <si>
    <t>US $39.95</t>
  </si>
  <si>
    <t>More than 10 available / 353 sold</t>
  </si>
  <si>
    <t>May 06, 2024 19:01:20 PDT</t>
  </si>
  <si>
    <t>Orange, Connecticut, United States</t>
  </si>
  <si>
    <t>Mirage Brands</t>
  </si>
  <si>
    <t>US $13.66</t>
  </si>
  <si>
    <t>More than 10 available / 552 sold</t>
  </si>
  <si>
    <t>May 24, 2024 00:14:35 PDT</t>
  </si>
  <si>
    <t>Hephzibah, Georgia, United States</t>
  </si>
  <si>
    <t>US $54.99/ea</t>
  </si>
  <si>
    <t>10 available / 780 sold</t>
  </si>
  <si>
    <t>May 22, 2024 18:50:59 PDT</t>
  </si>
  <si>
    <t>More than 10 available / 358 sold</t>
  </si>
  <si>
    <t>May 24, 2024 09:56:14 PDT</t>
  </si>
  <si>
    <t>Abercrombie &amp; Fitch</t>
  </si>
  <si>
    <t>Eau de Cologne</t>
  </si>
  <si>
    <t>9 available / 87 sold</t>
  </si>
  <si>
    <t>May 23, 2024 09:26:33 PDT</t>
  </si>
  <si>
    <t>US $89.99</t>
  </si>
  <si>
    <t>6 available / 23 sold</t>
  </si>
  <si>
    <t>May 16, 2024 19:15:06 PDT</t>
  </si>
  <si>
    <t>El Cajon, California, Hong Kong</t>
  </si>
  <si>
    <t>US $109.99/ea</t>
  </si>
  <si>
    <t>May 23, 2024 18:03:02 PDT</t>
  </si>
  <si>
    <t>California,United States, Hong Kong, Hong Kong</t>
  </si>
  <si>
    <t>US $92.56/ea</t>
  </si>
  <si>
    <t>Limited quantity available / 2,293 sold</t>
  </si>
  <si>
    <t>May 24, 2024 06:15:40 PDT</t>
  </si>
  <si>
    <t>6 available / 8 sold</t>
  </si>
  <si>
    <t>May 22, 2024 22:34:16 PDT</t>
  </si>
  <si>
    <t>US $59.99</t>
  </si>
  <si>
    <t>More than 10 available / 14 sold</t>
  </si>
  <si>
    <t>May 21, 2024 07:50:36 PDT</t>
  </si>
  <si>
    <t>4 available / 42 sold</t>
  </si>
  <si>
    <t>May 23, 2024 22:52:13 PDT</t>
  </si>
  <si>
    <t>Fresh Meadows, New York, United States</t>
  </si>
  <si>
    <t>US $13.86/ea</t>
  </si>
  <si>
    <t>More than 10 available / 1,146 sold</t>
  </si>
  <si>
    <t>May 24, 2024 08:52:14 PDT</t>
  </si>
  <si>
    <t>Cumming, Georgia, United States</t>
  </si>
  <si>
    <t>Moschino</t>
  </si>
  <si>
    <t>US $29.99</t>
  </si>
  <si>
    <t>5 available / 17 sold</t>
  </si>
  <si>
    <t>May 24, 2024 00:58:38 PDT</t>
  </si>
  <si>
    <t>US $17.99</t>
  </si>
  <si>
    <t>3 available / 324 sold</t>
  </si>
  <si>
    <t>May 20, 2024 10:32:37 PDT</t>
  </si>
  <si>
    <t>Detroit, Michigan, United States</t>
  </si>
  <si>
    <t>US $79.99/ea</t>
  </si>
  <si>
    <t>More than 10 available / 316 sold</t>
  </si>
  <si>
    <t>May 16, 2024 17:01:39 PDT</t>
  </si>
  <si>
    <t>Walnut, California, Hong Kong</t>
  </si>
  <si>
    <t>More than 10 available / 157 sold</t>
  </si>
  <si>
    <t>May 23, 2024 22:52:49 PDT</t>
  </si>
  <si>
    <t>Dayton, New Jersey, Hong Kong</t>
  </si>
  <si>
    <t>5 available / 73 sold</t>
  </si>
  <si>
    <t>May 22, 2024 09:32:15 PDT</t>
  </si>
  <si>
    <t>As Shown</t>
  </si>
  <si>
    <t>5 available / 45 sold</t>
  </si>
  <si>
    <t>May 24, 2024 00:15:22 PDT</t>
  </si>
  <si>
    <t>Ottawa,California, Canada</t>
  </si>
  <si>
    <t>US $33.95/ea</t>
  </si>
  <si>
    <t>8 available / 464 sold</t>
  </si>
  <si>
    <t>May 24, 2024 06:26:36 PDT</t>
  </si>
  <si>
    <t>US $24.50</t>
  </si>
  <si>
    <t>May 22, 2024 18:17:42 PDT</t>
  </si>
  <si>
    <t>US $49.96/ea</t>
  </si>
  <si>
    <t>6 available / 19 sold</t>
  </si>
  <si>
    <t>May 23, 2024 05:43:30 PDT</t>
  </si>
  <si>
    <t>7 available / 225 sold</t>
  </si>
  <si>
    <t>May 24, 2024 05:43:51 PDT</t>
  </si>
  <si>
    <t>Highland Park, Michigan, United States</t>
  </si>
  <si>
    <t>US $26.97/ea</t>
  </si>
  <si>
    <t>33 available / 424 sold</t>
  </si>
  <si>
    <t>May 21, 2024 13:31:47 PDT</t>
  </si>
  <si>
    <t>~ DOLCE &amp; GABBANA ~</t>
  </si>
  <si>
    <t>~ THE ONE EAU DE PARFUM SPRAY ~</t>
  </si>
  <si>
    <t>2 available / 22 sold</t>
  </si>
  <si>
    <t>May 23, 2024 21:13:14 PDT</t>
  </si>
  <si>
    <t>Melissa, Texas, United States</t>
  </si>
  <si>
    <t>US $30.00/ea</t>
  </si>
  <si>
    <t>2 available / 270 sold</t>
  </si>
  <si>
    <t>May 24, 2024 01:40:45 PDT</t>
  </si>
  <si>
    <t>Carlsbad, California, United States</t>
  </si>
  <si>
    <t>As picture show</t>
  </si>
  <si>
    <t>US $189.99</t>
  </si>
  <si>
    <t>2 available / 32 sold</t>
  </si>
  <si>
    <t>May 24, 2024 04:22:27 PDT</t>
  </si>
  <si>
    <t>Livingston Manor, New York, United States</t>
  </si>
  <si>
    <t>Superz Budapest</t>
  </si>
  <si>
    <t>EXTRAIT DE PARFUM</t>
  </si>
  <si>
    <t>US $125.00/ea</t>
  </si>
  <si>
    <t>More than 10 available / 28 sold</t>
  </si>
  <si>
    <t>May 23, 2024 19:49:00 PDT</t>
  </si>
  <si>
    <t>Hollywood, Florida, United States</t>
  </si>
  <si>
    <t>8 available / 169 sold</t>
  </si>
  <si>
    <t>May 24, 2024 06:07:43 PDT</t>
  </si>
  <si>
    <t>Laughlin, Nevada, United States</t>
  </si>
  <si>
    <t>US $28.91/ea</t>
  </si>
  <si>
    <t>48 available / 849 sold</t>
  </si>
  <si>
    <t>May 24, 2024 07:33:32 PDT</t>
  </si>
  <si>
    <t>May 24, 2024 01:46:35 PDT</t>
  </si>
  <si>
    <t>Gianni Versace</t>
  </si>
  <si>
    <t>US $25.43/ea</t>
  </si>
  <si>
    <t>116 available / 1,925 sold</t>
  </si>
  <si>
    <t>May 24, 2024 08:02:07 PDT</t>
  </si>
  <si>
    <t>US $11.00</t>
  </si>
  <si>
    <t>More than 10 available / 702 sold</t>
  </si>
  <si>
    <t>Apr 05, 2024 00:52:00 PDT</t>
  </si>
  <si>
    <t>Albany, New York, United States</t>
  </si>
  <si>
    <t>Christian Dior</t>
  </si>
  <si>
    <t>US $161.99</t>
  </si>
  <si>
    <t>More than 10 available / 129 sold</t>
  </si>
  <si>
    <t>May 13, 2024 10:40:48 PDT</t>
  </si>
  <si>
    <t>US $40.99/ea</t>
  </si>
  <si>
    <t>More than 10 available / 16 sold</t>
  </si>
  <si>
    <t>May 24, 2024 10:25:34 PDT</t>
  </si>
  <si>
    <t>HERMÈS</t>
  </si>
  <si>
    <t>US $58.99</t>
  </si>
  <si>
    <t>Last One / 3 sold</t>
  </si>
  <si>
    <t>May 24, 2024 00:09:17 PDT</t>
  </si>
  <si>
    <t>New York, New York, United States</t>
  </si>
  <si>
    <t>US $48.99</t>
  </si>
  <si>
    <t>More than 10 available / 101 sold</t>
  </si>
  <si>
    <t>May 20, 2024 17:37:45 PDT</t>
  </si>
  <si>
    <t>Hong Kong, Hong Kong</t>
  </si>
  <si>
    <t>Diesel</t>
  </si>
  <si>
    <t>US $17.00/ea</t>
  </si>
  <si>
    <t>6 available / 147 sold</t>
  </si>
  <si>
    <t>May 18, 2024 20:56:17 PDT</t>
  </si>
  <si>
    <t>US $65.97/ea</t>
  </si>
  <si>
    <t>10 available / 37 sold</t>
  </si>
  <si>
    <t>May 24, 2024 08:08:36 PDT</t>
  </si>
  <si>
    <t>Lacoste</t>
  </si>
  <si>
    <t>Eau De Toilette</t>
  </si>
  <si>
    <t>US $36.68/ea</t>
  </si>
  <si>
    <t>More than 10 available / 9 sold</t>
  </si>
  <si>
    <t>May 22, 2024 18:48:58 PDT</t>
  </si>
  <si>
    <t>Austin, Texas, United States</t>
  </si>
  <si>
    <t>More than 10 available / 165 sold</t>
  </si>
  <si>
    <t>May 24, 2024 09:52:03 PDT</t>
  </si>
  <si>
    <t>Dossier</t>
  </si>
  <si>
    <t>US $20.00/ea</t>
  </si>
  <si>
    <t>8 available / 23 sold</t>
  </si>
  <si>
    <t>Los Angeles, California, United States</t>
  </si>
  <si>
    <t>Burberry</t>
  </si>
  <si>
    <t>US $77.07</t>
  </si>
  <si>
    <t>3 available / 55 sold</t>
  </si>
  <si>
    <t>May 23, 2024 22:10:28 PDT</t>
  </si>
  <si>
    <t>US $64.99</t>
  </si>
  <si>
    <t>More than 10 available / 235 sold</t>
  </si>
  <si>
    <t>May 08, 2024 11:11:06 PDT</t>
  </si>
  <si>
    <t>3 available / 20 sold</t>
  </si>
  <si>
    <t>May 23, 2024 05:48:20 PDT</t>
  </si>
  <si>
    <t>Lubbock, Texas, United States</t>
  </si>
  <si>
    <t>US $39.99</t>
  </si>
  <si>
    <t>3 available / 275 sold</t>
  </si>
  <si>
    <t>May 24, 2024 01:40:01 PDT</t>
  </si>
  <si>
    <t>US $36.99/ea</t>
  </si>
  <si>
    <t>2 available / 98 sold</t>
  </si>
  <si>
    <t>May 23, 2024 00:18:08 PDT</t>
  </si>
  <si>
    <t>Michael Malul</t>
  </si>
  <si>
    <t>US $79.99</t>
  </si>
  <si>
    <t>6 available / 18 sold</t>
  </si>
  <si>
    <t>May 15, 2024 13:47:53 PDT</t>
  </si>
  <si>
    <t>Jonesboro, Georgia, United States</t>
  </si>
  <si>
    <t>Zara</t>
  </si>
  <si>
    <t>US $37.50</t>
  </si>
  <si>
    <t>May 22, 2024 04:50:50 PDT</t>
  </si>
  <si>
    <t>Englewood, New Jersey, United States</t>
  </si>
  <si>
    <t>Aramis</t>
  </si>
  <si>
    <t>US $21.01/ea</t>
  </si>
  <si>
    <t>272 available / 2,486 sold</t>
  </si>
  <si>
    <t>May 21, 2024 19:16:09 PDT</t>
  </si>
  <si>
    <t>US $6.97</t>
  </si>
  <si>
    <t>More than 10 available / 803 sold</t>
  </si>
  <si>
    <t>May 21, 2024 19:20:13 PDT</t>
  </si>
  <si>
    <t>Eau De Parfum Intense</t>
  </si>
  <si>
    <t>US $65.68/ea</t>
  </si>
  <si>
    <t>More than 10 available / 11 sold</t>
  </si>
  <si>
    <t>May 22, 2024 18:49:43 PDT</t>
  </si>
  <si>
    <t>5 available / 5 sold</t>
  </si>
  <si>
    <t>May 14, 2024 20:43:05 PDT</t>
  </si>
  <si>
    <t>New York,United States, Hong Kong</t>
  </si>
  <si>
    <t>Jean Paul Gaultier</t>
  </si>
  <si>
    <t>US $51.99/ea</t>
  </si>
  <si>
    <t>More than 10 available / 73 sold</t>
  </si>
  <si>
    <t>May 22, 2024 08:29:08 PDT</t>
  </si>
  <si>
    <t>US $28.99</t>
  </si>
  <si>
    <t>Last One / 23 sold</t>
  </si>
  <si>
    <t>May 20, 2024 18:36:38 PDT</t>
  </si>
  <si>
    <t>Philadelphia, Pennsylvania, United States</t>
  </si>
  <si>
    <t>2 available / 27 sold</t>
  </si>
  <si>
    <t>May 24, 2024 02:57:18 PDT</t>
  </si>
  <si>
    <t>Santa Cruz, California, United States</t>
  </si>
  <si>
    <t>Davidoff</t>
  </si>
  <si>
    <t>US $34.98/ea</t>
  </si>
  <si>
    <t>Limited quantity available / 849 sold</t>
  </si>
  <si>
    <t>May 23, 2024 18:21:52 PDT</t>
  </si>
  <si>
    <t>US $25.49/ea</t>
  </si>
  <si>
    <t>4 available / 64 sold</t>
  </si>
  <si>
    <t>May 24, 2024 03:48:03 PDT</t>
  </si>
  <si>
    <t>Baltimore, Maryland, United States</t>
  </si>
  <si>
    <t>US $41.99/ea</t>
  </si>
  <si>
    <t>2 available / 38 sold</t>
  </si>
  <si>
    <t>May 19, 2024 15:04:04 PDT</t>
  </si>
  <si>
    <t>As Picture Shown</t>
  </si>
  <si>
    <t>4 available / 8 sold</t>
  </si>
  <si>
    <t>May 24, 2024 10:01:25 PDT</t>
  </si>
  <si>
    <t>HongKong, Hong Kong</t>
  </si>
  <si>
    <t>US $27.30</t>
  </si>
  <si>
    <t>May 24, 2024 07:13:43 PDT</t>
  </si>
  <si>
    <t>US $48.00</t>
  </si>
  <si>
    <t>More than 10 available / 7 sold</t>
  </si>
  <si>
    <t>Webster, Florida, United States</t>
  </si>
  <si>
    <t>Bvlgari</t>
  </si>
  <si>
    <t>US $45.68/ea</t>
  </si>
  <si>
    <t>More than 10 available / 5 sold</t>
  </si>
  <si>
    <t>May 22, 2024 19:40:47 PDT</t>
  </si>
  <si>
    <t>US $159.99</t>
  </si>
  <si>
    <t>More than 10 available / 160 sold</t>
  </si>
  <si>
    <t>May 16, 2024 05:23:22 PDT</t>
  </si>
  <si>
    <t>May 23, 2024 17:06:03 PDT</t>
  </si>
  <si>
    <t>Shenzhen, China</t>
  </si>
  <si>
    <t>More than 10 available / 4,520 sold</t>
  </si>
  <si>
    <t>May 24, 2024 08:57:22 PDT</t>
  </si>
  <si>
    <t>More than 10 available</t>
  </si>
  <si>
    <t>Parfums de Marly</t>
  </si>
  <si>
    <t>US $82.99</t>
  </si>
  <si>
    <t>3 available / 5 sold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</si>
  <si>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</si>
  <si>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</si>
  <si>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</si>
  <si>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</si>
  <si>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</si>
  <si>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</si>
  <si>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Last One / 10 sold</t>
  </si>
  <si>
    <t>May 23, 2024 11:29:21 PDT</t>
  </si>
  <si>
    <t>US $28.99/ea</t>
  </si>
  <si>
    <t>9 available / 111 sold</t>
  </si>
  <si>
    <t>May 24, 2024 00:02:00 PDT</t>
  </si>
  <si>
    <t>MontBlanc</t>
  </si>
  <si>
    <t>3 available / 30 sold</t>
  </si>
  <si>
    <t>May 24, 2024 06:08:29 PDT</t>
  </si>
  <si>
    <t>3 available / 76 sold</t>
  </si>
  <si>
    <t>May 24, 2024 00:56:45 PDT</t>
  </si>
  <si>
    <t>More than 10 available / 410 sold</t>
  </si>
  <si>
    <t>May 24, 2024 08:45:15 PDT</t>
  </si>
  <si>
    <t>Melvindale, Michigan, United States</t>
  </si>
  <si>
    <t>Ard Al Zaafaran</t>
  </si>
  <si>
    <t>US $17.85</t>
  </si>
  <si>
    <t>3 available / 29 sold</t>
  </si>
  <si>
    <t>May 24, 2024 08:56:45 PDT</t>
  </si>
  <si>
    <t>Karl Lagerfeld</t>
  </si>
  <si>
    <t>US $16.91/ea</t>
  </si>
  <si>
    <t>6 available / 825 sold</t>
  </si>
  <si>
    <t>Mar 04, 2024 18:12:48 PST</t>
  </si>
  <si>
    <t>US $69.99/ea</t>
  </si>
  <si>
    <t>2 available / 81 sold</t>
  </si>
  <si>
    <t>May 18, 2024 05:26:34 PDT</t>
  </si>
  <si>
    <t>Thomasville, Alabama, United States</t>
  </si>
  <si>
    <t>US $38.24/ea</t>
  </si>
  <si>
    <t>Limited quantity available / 13,549 sold</t>
  </si>
  <si>
    <t>May 24, 2024 10:26:59 PDT</t>
  </si>
  <si>
    <t>J. Del Pozo</t>
  </si>
  <si>
    <t>US $30.99</t>
  </si>
  <si>
    <t>More than 10 available / 866 sold</t>
  </si>
  <si>
    <t>May 13, 2024 10:02:02 PDT</t>
  </si>
  <si>
    <t>Sean John</t>
  </si>
  <si>
    <t>More than 10 available / 471 sold</t>
  </si>
  <si>
    <t>May 23, 2024 16:29:12 PDT</t>
  </si>
  <si>
    <t>AS PICTURE SHOWN</t>
  </si>
  <si>
    <t>US $125.99</t>
  </si>
  <si>
    <t>Last One / 15 sold</t>
  </si>
  <si>
    <t>May 24, 2024 01:04:08 PDT</t>
  </si>
  <si>
    <t>YSL</t>
  </si>
  <si>
    <t>3 available / 9 sold</t>
  </si>
  <si>
    <t>May 21, 2024 09:33:44 PDT</t>
  </si>
  <si>
    <t>Ontario, California, United States, Hong Kong</t>
  </si>
  <si>
    <t>US $36.36/ea</t>
  </si>
  <si>
    <t>226 available / 771 sold</t>
  </si>
  <si>
    <t>May 23, 2024 13:02:17 PDT</t>
  </si>
  <si>
    <t>7 available / 916 sold</t>
  </si>
  <si>
    <t>May 21, 2024 09:02:01 PDT</t>
  </si>
  <si>
    <t>US $33.45/ea</t>
  </si>
  <si>
    <t>127 available / 1,391 sold</t>
  </si>
  <si>
    <t>May 23, 2024 03:25:35 PDT</t>
  </si>
  <si>
    <t>Aftershave</t>
  </si>
  <si>
    <t>US $44.00/ea</t>
  </si>
  <si>
    <t>2 available / 24 sold</t>
  </si>
  <si>
    <t>May 20, 2024 00:27:05 PDT</t>
  </si>
  <si>
    <t>Jaguar</t>
  </si>
  <si>
    <t>US $15.40/ea</t>
  </si>
  <si>
    <t>224 available / 3,942 sold</t>
  </si>
  <si>
    <t>May 21, 2024 20:09:06 PDT</t>
  </si>
  <si>
    <t>EBC</t>
  </si>
  <si>
    <t>US $13.50</t>
  </si>
  <si>
    <t>May 09, 2024 17:47:19 PDT</t>
  </si>
  <si>
    <t>Hialeah, Florida, United States</t>
  </si>
  <si>
    <t>Limited quantity available / 1,140 sold</t>
  </si>
  <si>
    <t>May 22, 2024 11:04:54 PDT</t>
  </si>
  <si>
    <t>US $52.62/ea</t>
  </si>
  <si>
    <t>Limited quantity available / 5,098 sold</t>
  </si>
  <si>
    <t>May 24, 2024 10:18:05 PDT</t>
  </si>
  <si>
    <t>US $50.08/ea</t>
  </si>
  <si>
    <t>More than 10 available / 182 sold</t>
  </si>
  <si>
    <t>May 24, 2024 07:58:17 PDT</t>
  </si>
  <si>
    <t>Bath &amp; Body Works</t>
  </si>
  <si>
    <t>US $28.95</t>
  </si>
  <si>
    <t>Last One / 5 sold</t>
  </si>
  <si>
    <t>Chesapeake, Virginia, United States</t>
  </si>
  <si>
    <t>US $12.20</t>
  </si>
  <si>
    <t>May 20, 2024 14:43:18 PDT</t>
  </si>
  <si>
    <t>US $28.93/ea</t>
  </si>
  <si>
    <t>44 available / 4,764 sold</t>
  </si>
  <si>
    <t>May 22, 2024 11:37:19 PDT</t>
  </si>
  <si>
    <t>Issey Miyake</t>
  </si>
  <si>
    <t>US $54.92/ea</t>
  </si>
  <si>
    <t>124 available / 2,465 sold</t>
  </si>
  <si>
    <t>May 24, 2024 08:21:08 PDT</t>
  </si>
  <si>
    <t>7 available / 17 sold</t>
  </si>
  <si>
    <t>May 23, 2024 10:28:54 PDT</t>
  </si>
  <si>
    <t>US $25.98/ea</t>
  </si>
  <si>
    <t>More than 10 available / 1,536 sold</t>
  </si>
  <si>
    <t>King</t>
  </si>
  <si>
    <t>Fragrance &amp; Perfume</t>
  </si>
  <si>
    <t>US $74.80</t>
  </si>
  <si>
    <t>Last One / 430 sold</t>
  </si>
  <si>
    <t>May 24, 2024 09:36:50 PDT</t>
  </si>
  <si>
    <t>US $39.77/ea</t>
  </si>
  <si>
    <t>Limited quantity available / 31,718 sold</t>
  </si>
  <si>
    <t>Prada</t>
  </si>
  <si>
    <t>US $86.87/ea</t>
  </si>
  <si>
    <t>Limited quantity available / 322 sold</t>
  </si>
  <si>
    <t>May 23, 2024 20:20:11 PDT</t>
  </si>
  <si>
    <t>More than 10 available / 1,044 sold</t>
  </si>
  <si>
    <t>May 18, 2024 14:38:27 PDT</t>
  </si>
  <si>
    <t>9 available / 204 sold</t>
  </si>
  <si>
    <t>May 23, 2024 10:46:14 PDT</t>
  </si>
  <si>
    <t>Farmington, Michigan, United States</t>
  </si>
  <si>
    <t>US $44.94/ea</t>
  </si>
  <si>
    <t>More than 10 available / 21,310 sold</t>
  </si>
  <si>
    <t>May 23, 2024 19:44:36 PDT</t>
  </si>
  <si>
    <t>US $18.99</t>
  </si>
  <si>
    <t>More than 10 available / 8 sold</t>
  </si>
  <si>
    <t>May 20, 2024 14:29:09 PDT</t>
  </si>
  <si>
    <t>HUGO BOSS</t>
  </si>
  <si>
    <t>US $17.95/ea</t>
  </si>
  <si>
    <t>More than 10 available / 75 sold</t>
  </si>
  <si>
    <t>Apr 02, 2024 11:24:36 PDT</t>
  </si>
  <si>
    <t>Des Moines, Iowa, United States</t>
  </si>
  <si>
    <t>6 available / 1,484 sold</t>
  </si>
  <si>
    <t>May 23, 2024 21:10:46 PDT</t>
  </si>
  <si>
    <t>9 available / 257 sold</t>
  </si>
  <si>
    <t>May 24, 2024 06:07:15 PDT</t>
  </si>
  <si>
    <t>Mont Blanc</t>
  </si>
  <si>
    <t>Eau de Perfume</t>
  </si>
  <si>
    <t>US $36.81/ea</t>
  </si>
  <si>
    <t>207 available / 1,234 sold</t>
  </si>
  <si>
    <t>May 24, 2024 09:22:44 PDT</t>
  </si>
  <si>
    <t>US $15.00</t>
  </si>
  <si>
    <t>More than 10 available / 12 sold</t>
  </si>
  <si>
    <t>May 19, 2024 23:29:58 PDT</t>
  </si>
  <si>
    <t>More than 10 available / 243 sold</t>
  </si>
  <si>
    <t>Mar 12, 2024 08:24:51 PDT</t>
  </si>
  <si>
    <t>BHARARA</t>
  </si>
  <si>
    <t>US $53.99/ea</t>
  </si>
  <si>
    <t>9 available / 512 sold</t>
  </si>
  <si>
    <t>May 24, 2024 05:27:02 PDT</t>
  </si>
  <si>
    <t>Tommy Bahama</t>
  </si>
  <si>
    <t>US $22.98</t>
  </si>
  <si>
    <t>3 available / 18 sold</t>
  </si>
  <si>
    <t>May 23, 2024 22:10:24 PDT</t>
  </si>
  <si>
    <t>US $22.24/ea</t>
  </si>
  <si>
    <t>More than 10 available / 1,424 sold</t>
  </si>
  <si>
    <t>May 24, 2024 07:07:02 PDT</t>
  </si>
  <si>
    <t>US $28.50/ea</t>
  </si>
  <si>
    <t>6 available / 566 sold</t>
  </si>
  <si>
    <t>May 23, 2024 22:20:26 PDT</t>
  </si>
  <si>
    <t>Grand Rapids, Michigan, United States</t>
  </si>
  <si>
    <t>US $29.00</t>
  </si>
  <si>
    <t>3 available / 57 sold</t>
  </si>
  <si>
    <t>May 20, 2024 18:06:47 PDT</t>
  </si>
  <si>
    <t>Paul Sebastian</t>
  </si>
  <si>
    <t>US $17.12/ea</t>
  </si>
  <si>
    <t>310 available / 597 sold</t>
  </si>
  <si>
    <t>May 24, 2024 09:32:11 PDT</t>
  </si>
  <si>
    <t>Halloween</t>
  </si>
  <si>
    <t>US $30.07</t>
  </si>
  <si>
    <t>3 available / 25 sold</t>
  </si>
  <si>
    <t>May 23, 2024 19:44:52 PDT</t>
  </si>
  <si>
    <t>Boucheron</t>
  </si>
  <si>
    <t>US $32.89</t>
  </si>
  <si>
    <t>3 available / 61 sold</t>
  </si>
  <si>
    <t>May 24, 2024 03:08:22 PDT</t>
  </si>
  <si>
    <t>Thierry Mugler</t>
  </si>
  <si>
    <t>10 available / 221 sold</t>
  </si>
  <si>
    <t>May 23, 2024 21:56:49 PDT</t>
  </si>
  <si>
    <t>Jo Malone</t>
  </si>
  <si>
    <t>Jo Malone Cologne Intense Spray</t>
  </si>
  <si>
    <t>US $63.99/ea</t>
  </si>
  <si>
    <t>2 available / 6 sold</t>
  </si>
  <si>
    <t>May 21, 2024 18:24:52 PDT</t>
  </si>
  <si>
    <t>Harwood Heights, Illinois, United States</t>
  </si>
  <si>
    <t>US $38.99/ea</t>
  </si>
  <si>
    <t>5 available / 40 sold</t>
  </si>
  <si>
    <t>May 21, 2024 08:49:20 PDT</t>
  </si>
  <si>
    <t>6 available / 233 sold</t>
  </si>
  <si>
    <t>May 23, 2024 09:40:17 PDT</t>
  </si>
  <si>
    <t>Macomb, Michigan, United States</t>
  </si>
  <si>
    <t>ISSEY MIYAKE</t>
  </si>
  <si>
    <t>US $54.91</t>
  </si>
  <si>
    <t>More than 10 available / 2,206 sold</t>
  </si>
  <si>
    <t>May 24, 2024 08:29:02 PDT</t>
  </si>
  <si>
    <t>US $124.96</t>
  </si>
  <si>
    <t>More than 10 available / 151 sold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</si>
  <si>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</si>
  <si>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</si>
  <si>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</si>
  <si>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</si>
  <si>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</si>
  <si>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</si>
  <si>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3 available / 4 sold</t>
  </si>
  <si>
    <t>May 23, 2024 22:14:29 PDT</t>
  </si>
  <si>
    <t>More than 10 available / 65 sold</t>
  </si>
  <si>
    <t>Mar 12, 2024 09:30:20 PDT</t>
  </si>
  <si>
    <t>US $35.68/ea</t>
  </si>
  <si>
    <t>9 available / 12 sold</t>
  </si>
  <si>
    <t>6 available / 14 sold</t>
  </si>
  <si>
    <t>May 21, 2024 23:16:01 PDT</t>
  </si>
  <si>
    <t>Louis Vuitton</t>
  </si>
  <si>
    <t>US $21.95/ea</t>
  </si>
  <si>
    <t>More than 10 available / 448 sold</t>
  </si>
  <si>
    <t>May 23, 2024 22:35:31 PDT</t>
  </si>
  <si>
    <t>Pearland, Texas, United States</t>
  </si>
  <si>
    <t>More than 10 available / 588 sold</t>
  </si>
  <si>
    <t>May 24, 2024 08:09:29 PDT</t>
  </si>
  <si>
    <t>US $63.69/ea</t>
  </si>
  <si>
    <t>Limited quantity available / 4,733 sold</t>
  </si>
  <si>
    <t>May 24, 2024 10:18:07 PDT</t>
  </si>
  <si>
    <t>Creed</t>
  </si>
  <si>
    <t>US $259.09/ea</t>
  </si>
  <si>
    <t>More than 10 available / 456 sold</t>
  </si>
  <si>
    <t>May 24, 2024 08:34:05 PDT</t>
  </si>
  <si>
    <t>MFK</t>
  </si>
  <si>
    <t>6 available / 13 sold</t>
  </si>
  <si>
    <t>May 22, 2024 17:57:01 PDT</t>
  </si>
  <si>
    <t>California USA Taiwan, Taiwan</t>
  </si>
  <si>
    <t>Hermes</t>
  </si>
  <si>
    <t>May 24, 2024 06:14:31 PDT</t>
  </si>
  <si>
    <t>US $31.99/ea</t>
  </si>
  <si>
    <t>5 available / 56 sold</t>
  </si>
  <si>
    <t>May 23, 2024 07:16:20 PDT</t>
  </si>
  <si>
    <t>US $28.79/ea</t>
  </si>
  <si>
    <t>9 available / 45 sold</t>
  </si>
  <si>
    <t>May 23, 2024 21:29:48 PDT</t>
  </si>
  <si>
    <t>fragrance</t>
  </si>
  <si>
    <t>US $46.99</t>
  </si>
  <si>
    <t>2 available / 3 sold</t>
  </si>
  <si>
    <t>May 24, 2024 00:24:54 PDT</t>
  </si>
  <si>
    <t>New City, New York, United States</t>
  </si>
  <si>
    <t>US $8.84/ea</t>
  </si>
  <si>
    <t>More than 10 available / 9,410 sold</t>
  </si>
  <si>
    <t>May 23, 2024 09:06:49 PDT</t>
  </si>
  <si>
    <t>US $94.99/ea</t>
  </si>
  <si>
    <t>10 available / 1,024 sold</t>
  </si>
  <si>
    <t>May 24, 2024 08:44:57 PDT</t>
  </si>
  <si>
    <t>US $94.99</t>
  </si>
  <si>
    <t>More than 10 available / 581 sold</t>
  </si>
  <si>
    <t>May 14, 2024 07:23:28 PDT</t>
  </si>
  <si>
    <t>US $70.66/ea</t>
  </si>
  <si>
    <t>199 available / 720 sold</t>
  </si>
  <si>
    <t>May 24, 2024 07:28:09 PDT</t>
  </si>
  <si>
    <t>US $52.99/ea</t>
  </si>
  <si>
    <t>5 available / 34 sold</t>
  </si>
  <si>
    <t>May 22, 2024 17:39:13 PDT</t>
  </si>
  <si>
    <t>CHANEL</t>
  </si>
  <si>
    <t>US $129.00</t>
  </si>
  <si>
    <t>3 available / 11 sold</t>
  </si>
  <si>
    <t>May 21, 2024 18:08:59 PDT</t>
  </si>
  <si>
    <t>More than 10 available / 248 sold</t>
  </si>
  <si>
    <t>May 24, 2024 10:17:45 PDT</t>
  </si>
  <si>
    <t>Gift Sets</t>
  </si>
  <si>
    <t>US $202.95/ea</t>
  </si>
  <si>
    <t>2 available / 18 sold</t>
  </si>
  <si>
    <t>May 24, 2024 07:55:27 PDT</t>
  </si>
  <si>
    <t>May 24, 2024 05:44:31 PDT</t>
  </si>
  <si>
    <t>Lalique</t>
  </si>
  <si>
    <t>US $57.46/ea</t>
  </si>
  <si>
    <t>More than 10 available / 202 sold</t>
  </si>
  <si>
    <t>May 24, 2024 08:50:39 PDT</t>
  </si>
  <si>
    <t>US $45.49/ea</t>
  </si>
  <si>
    <t>2 available / 116 sold</t>
  </si>
  <si>
    <t>May 24, 2024 03:20:23 PDT</t>
  </si>
  <si>
    <t>Cincinnati, Ohio, United States</t>
  </si>
  <si>
    <t>US $55.00</t>
  </si>
  <si>
    <t>4 available / 1 sold</t>
  </si>
  <si>
    <t>May 20, 2024 15:45:43 PDT</t>
  </si>
  <si>
    <t>Melbourne, Florida, United States</t>
  </si>
  <si>
    <t>9 available / 16 sold</t>
  </si>
  <si>
    <t>May 24, 2024 05:54:57 PDT</t>
  </si>
  <si>
    <t>Liz Claiborne</t>
  </si>
  <si>
    <t>US $27.03/ea</t>
  </si>
  <si>
    <t>101 available / 1,337 sold</t>
  </si>
  <si>
    <t>May 21, 2024 11:23:08 PDT</t>
  </si>
  <si>
    <t>US $45.69/ea</t>
  </si>
  <si>
    <t>8 available / 31 sold</t>
  </si>
  <si>
    <t>May 15, 2024 03:14:10 PDT</t>
  </si>
  <si>
    <t>Houston, Texas, HongKong, China</t>
  </si>
  <si>
    <t>US $12.98</t>
  </si>
  <si>
    <t>10 available / 103 sold</t>
  </si>
  <si>
    <t>May 24, 2024 10:10:30 PDT</t>
  </si>
  <si>
    <t>By Al Hambra</t>
  </si>
  <si>
    <t>US $25.70/ea</t>
  </si>
  <si>
    <t>More than 10 available / 72 sold</t>
  </si>
  <si>
    <t>Apr 12, 2024 07:43:55 PDT</t>
  </si>
  <si>
    <t>US $45.99</t>
  </si>
  <si>
    <t>Last One / 101 sold</t>
  </si>
  <si>
    <t>May 24, 2024 02:49:19 PDT</t>
  </si>
  <si>
    <t>US $47.99/ea</t>
  </si>
  <si>
    <t>Limited quantity available / 8,877 sold</t>
  </si>
  <si>
    <t>May 23, 2024 20:23:14 PDT</t>
  </si>
  <si>
    <t>US $32.00/ea</t>
  </si>
  <si>
    <t>4 available / 445 sold</t>
  </si>
  <si>
    <t>May 23, 2024 23:12:15 PDT</t>
  </si>
  <si>
    <t>Bethpage, New York, United States</t>
  </si>
  <si>
    <t>Joop</t>
  </si>
  <si>
    <t>US $38.53</t>
  </si>
  <si>
    <t>3 available / 33 sold</t>
  </si>
  <si>
    <t>May 23, 2024 09:32:48 PDT</t>
  </si>
  <si>
    <t>More than 10 available / 26 sold</t>
  </si>
  <si>
    <t>Mar 01, 2024 11:28:05 PST</t>
  </si>
  <si>
    <t>US $13.89</t>
  </si>
  <si>
    <t>3 available / 239 sold</t>
  </si>
  <si>
    <t>May 24, 2024 00:31:06 PDT</t>
  </si>
  <si>
    <t>Phillipsburg, New Jersey, United States</t>
  </si>
  <si>
    <t>As shown</t>
  </si>
  <si>
    <t>5 available / 24 sold</t>
  </si>
  <si>
    <t>May 22, 2024 17:27:49 PDT</t>
  </si>
  <si>
    <t>Hongkong/California, Hong Kong</t>
  </si>
  <si>
    <t>Ted Lapidus</t>
  </si>
  <si>
    <t>US $28.65</t>
  </si>
  <si>
    <t>May 22, 2024 21:26:49 PDT</t>
  </si>
  <si>
    <t>Last One / 19 sold</t>
  </si>
  <si>
    <t>May 05, 2024 23:18:46 PDT</t>
  </si>
  <si>
    <t>10 available / 51 sold</t>
  </si>
  <si>
    <t>May 23, 2024 19:47:23 PDT</t>
  </si>
  <si>
    <t>May 23, 2024 08:37:31 PDT</t>
  </si>
  <si>
    <t>6 available / 44 sold</t>
  </si>
  <si>
    <t>May 24, 2024 08:35:47 PDT</t>
  </si>
  <si>
    <t>US $36.99</t>
  </si>
  <si>
    <t>9 available / 37 sold</t>
  </si>
  <si>
    <t>May 24, 2024 00:16:00 PDT</t>
  </si>
  <si>
    <t>Toronto,Ontario, Canada</t>
  </si>
  <si>
    <t>May 24, 2024 00:56:01 PDT</t>
  </si>
  <si>
    <t>Fragrance Rolling Ball</t>
  </si>
  <si>
    <t>More than 10 available / 62 sold</t>
  </si>
  <si>
    <t>May 21, 2024 19:32:25 PDT</t>
  </si>
  <si>
    <t>More than 10 available / 118 sold</t>
  </si>
  <si>
    <t>May 17, 2024 10:37:39 PDT</t>
  </si>
  <si>
    <t>Southgate, Michigan, United States</t>
  </si>
  <si>
    <t>US $69.02/ea</t>
  </si>
  <si>
    <t>More than 10 available / 370 sold</t>
  </si>
  <si>
    <t>May 24, 2024 07:14:08 PDT</t>
  </si>
  <si>
    <t>US $22.99</t>
  </si>
  <si>
    <t>More than 10 available / 52 sold</t>
  </si>
  <si>
    <t>May 17, 2024 11:39:08 PDT</t>
  </si>
  <si>
    <t>Bogota, New Jersey, United States</t>
  </si>
  <si>
    <t>AXE</t>
  </si>
  <si>
    <t>Body Spray</t>
  </si>
  <si>
    <t>US $11.99/ea</t>
  </si>
  <si>
    <t>5 available / 15 sold</t>
  </si>
  <si>
    <t>May 08, 2024 15:39:55 PDT</t>
  </si>
  <si>
    <t>Euless, Texas, United States</t>
  </si>
  <si>
    <t>7 available / 51 sold</t>
  </si>
  <si>
    <t>May 22, 2024 08:29:15 PDT</t>
  </si>
  <si>
    <t>US $18.10/ea</t>
  </si>
  <si>
    <t>84 available / 210 sold</t>
  </si>
  <si>
    <t>May 21, 2024 09:40:06 PDT</t>
  </si>
  <si>
    <t>More than 10 available / 124 sold</t>
  </si>
  <si>
    <t>May 05, 2024 01:21:25 PDT</t>
  </si>
  <si>
    <t>US $57.17/ea</t>
  </si>
  <si>
    <t>7 available / 210 sold</t>
  </si>
  <si>
    <t>May 24, 2024 01:43:21 PDT</t>
  </si>
  <si>
    <t>as showed</t>
  </si>
  <si>
    <t>US $9.61</t>
  </si>
  <si>
    <t>Last One / 17 sold</t>
  </si>
  <si>
    <t>May 20, 2024 19:45:54 PDT</t>
  </si>
  <si>
    <t>New York, Hong Kong</t>
  </si>
  <si>
    <t>Eau de toilette</t>
  </si>
  <si>
    <t>May 08, 2024 14:29:55 PDT</t>
  </si>
  <si>
    <t>27704, United States</t>
  </si>
  <si>
    <t>US $138.99</t>
  </si>
  <si>
    <t>4 available / 6 sold</t>
  </si>
  <si>
    <t>May 16, 2024 02:12:52 PDT</t>
  </si>
  <si>
    <t>US $44.49/ea</t>
  </si>
  <si>
    <t>5 available / 4 sold</t>
  </si>
  <si>
    <t>May 18, 2024 08:26:37 PDT</t>
  </si>
  <si>
    <t>US $23.49</t>
  </si>
  <si>
    <t>3 available / 14 sold</t>
  </si>
  <si>
    <t>May 23, 2024 21:50:21 PDT</t>
  </si>
  <si>
    <t>May 24, 2024 07:53:38 PDT</t>
  </si>
  <si>
    <t>US $22.99/ea</t>
  </si>
  <si>
    <t>May 12, 2024 17:06:25 PDT</t>
  </si>
  <si>
    <t>US $29.19</t>
  </si>
  <si>
    <t>More than 10 available / 1,787 sold</t>
  </si>
  <si>
    <t>May 24, 2024 06:34:25 PDT</t>
  </si>
  <si>
    <t>Lomani</t>
  </si>
  <si>
    <t>US $16.39/ea</t>
  </si>
  <si>
    <t>31 available / 1,630 sold</t>
  </si>
  <si>
    <t>May 24, 2024 10:18:08 PDT</t>
  </si>
  <si>
    <t>king of kings</t>
  </si>
  <si>
    <t>7 available / 43 sold</t>
  </si>
  <si>
    <t>May 21, 2024 12:02:21 PDT</t>
  </si>
  <si>
    <t>North Brunswick, New Jersey, United States</t>
  </si>
  <si>
    <t>US $7.96</t>
  </si>
  <si>
    <t>More than 10 available / 38 sold</t>
  </si>
  <si>
    <t>Feb 22, 2024 02:08:53 PST</t>
  </si>
  <si>
    <t>9 available / 2 sold</t>
  </si>
  <si>
    <t>May 24, 2024 05:54:34 PDT</t>
  </si>
  <si>
    <t>Eau de Toillette</t>
  </si>
  <si>
    <t>US $92.00</t>
  </si>
  <si>
    <t>3 available / 37 sold</t>
  </si>
  <si>
    <t>May 19, 2024 11:37:40 PDT</t>
  </si>
  <si>
    <t>6 available / 25 sold</t>
  </si>
  <si>
    <t>May 23, 2024 09:08:21 PDT</t>
  </si>
  <si>
    <t>5 available / 43 sold</t>
  </si>
  <si>
    <t>May 22, 2024 18:23:23 PDT</t>
  </si>
  <si>
    <t>US $25.86/ea</t>
  </si>
  <si>
    <t>13 available / 55 sold</t>
  </si>
  <si>
    <t>May 21, 2024 08:20:51 PDT</t>
  </si>
  <si>
    <t>Eau De Toilette, Eau De Parfum, Eau De Parfum Intense</t>
  </si>
  <si>
    <t>US $16.00</t>
  </si>
  <si>
    <t>More than 10 available / 41 sold</t>
  </si>
  <si>
    <t>May 20, 2024 23:59:09 PDT</t>
  </si>
  <si>
    <t>US $89.25/ea</t>
  </si>
  <si>
    <t>More than 10 available / 39 sold</t>
  </si>
  <si>
    <t>May 17, 2024 09:28:09 PDT</t>
  </si>
  <si>
    <t>Lynwood, California, United States</t>
  </si>
  <si>
    <t>9 available / 13 sold</t>
  </si>
  <si>
    <t>May 22, 2024 05:35:53 PDT</t>
  </si>
  <si>
    <t>US $28.25/ea</t>
  </si>
  <si>
    <t>More than 10 available / 12,583 sold</t>
  </si>
  <si>
    <t>May 24, 2024 07:53:46 PDT</t>
  </si>
  <si>
    <t>US $15.99/ea</t>
  </si>
  <si>
    <t>More than 10 available / 20 sold</t>
  </si>
  <si>
    <t>Woodbridge, Virginia, United States</t>
  </si>
  <si>
    <t>More than 10 available / 51 sold</t>
  </si>
  <si>
    <t>May 06, 2024 04:40:12 PDT</t>
  </si>
  <si>
    <t>Sterling Heights, Michigan, United States</t>
  </si>
  <si>
    <t>More than 10 available / 919 sold</t>
  </si>
  <si>
    <t>May 24, 2024 08:09:49 PDT</t>
  </si>
  <si>
    <t>rue21</t>
  </si>
  <si>
    <t>US $25.00/ea</t>
  </si>
  <si>
    <t>May 24, 2024 02:35:10 PDT</t>
  </si>
  <si>
    <t>5 available / 18 sold</t>
  </si>
  <si>
    <t>May 05, 2024 23:09:40 PDT</t>
  </si>
  <si>
    <t>California, United States, Hong Kong</t>
  </si>
  <si>
    <t>US $19.95</t>
  </si>
  <si>
    <t>More than 10 available / 6 sold</t>
  </si>
  <si>
    <t>Stafford, Texas, United States</t>
  </si>
  <si>
    <t>Roja Dove</t>
  </si>
  <si>
    <t>US $129.99/ea</t>
  </si>
  <si>
    <t>May 05, 2024 18:27:16 PDT</t>
  </si>
  <si>
    <t>US $31.99</t>
  </si>
  <si>
    <t>Last One / 40 sold</t>
  </si>
  <si>
    <t>May 23, 2024 17:25:38 PDT</t>
  </si>
  <si>
    <t>More than 10 available / 655 sold</t>
  </si>
  <si>
    <t>May 19, 2024 08:37:16 PDT</t>
  </si>
  <si>
    <t>US $46.48/ea</t>
  </si>
  <si>
    <t>8 available / 7 sold</t>
  </si>
  <si>
    <t>May 24, 2024 01:20:40 PDT</t>
  </si>
  <si>
    <t>Houston, Texas,HongKong, China</t>
  </si>
  <si>
    <t>US $18.99/ea</t>
  </si>
  <si>
    <t>10 available / 139 sold</t>
  </si>
  <si>
    <t>May 22, 2024 12:31:45 PDT</t>
  </si>
  <si>
    <t>Falls Church, Virginia, United States</t>
  </si>
  <si>
    <t>Tom Ford</t>
  </si>
  <si>
    <t>US $116.54/ea</t>
  </si>
  <si>
    <t>Limited quantity available / 262 sold</t>
  </si>
  <si>
    <t>May 23, 2024 21:59:23 PDT</t>
  </si>
  <si>
    <t>US $22.95/ea</t>
  </si>
  <si>
    <t>9 available / 647 sold</t>
  </si>
  <si>
    <t>Apr 21, 2024 21:21:42 PDT</t>
  </si>
  <si>
    <t>US $71.49/ea</t>
  </si>
  <si>
    <t>4 available / 31 sold</t>
  </si>
  <si>
    <t>May 22, 2024 16:32:10 PDT</t>
  </si>
  <si>
    <t>US $24.49/ea</t>
  </si>
  <si>
    <t>4 available / 71 sold</t>
  </si>
  <si>
    <t>May 24, 2024 03:36:50 PDT</t>
  </si>
  <si>
    <t>May 22, 2024 19:01:20 PDT</t>
  </si>
  <si>
    <t>More than 10 available / 457 sold</t>
  </si>
  <si>
    <t>May 21, 2024 09:49:10 PDT</t>
  </si>
  <si>
    <t>US $41.99</t>
  </si>
  <si>
    <t>10 available / 15 sold</t>
  </si>
  <si>
    <t>May 02, 2024 21:01:55 PDT</t>
  </si>
  <si>
    <t>Fredericksburg, Virginia, United States</t>
  </si>
  <si>
    <t>Al Wataniah</t>
  </si>
  <si>
    <t>US $35.00</t>
  </si>
  <si>
    <t>More than 10 available / 36 sold</t>
  </si>
  <si>
    <t>Apr 30, 2024 08:56:26 PDT</t>
  </si>
  <si>
    <t>US $8.49</t>
  </si>
  <si>
    <t>5 available / 131 sold</t>
  </si>
  <si>
    <t>May 24, 2024 00:33:39 PDT</t>
  </si>
  <si>
    <t>More than 10 available / 103 sold</t>
  </si>
  <si>
    <t>May 19, 2024 07:45:31 PDT</t>
  </si>
  <si>
    <t>More than 10 available / 78 sold</t>
  </si>
  <si>
    <t>May 24, 2024 07:13:24 PDT</t>
  </si>
  <si>
    <t>Last One / 29 sold</t>
  </si>
  <si>
    <t>May 22, 2024 13:27:09 PDT</t>
  </si>
  <si>
    <t>US $30.95/ea</t>
  </si>
  <si>
    <t>6 available / 36 sold</t>
  </si>
  <si>
    <t>May 24, 2024 09:46:46 PDT</t>
  </si>
  <si>
    <t>US $19.99</t>
  </si>
  <si>
    <t>3 available / 8 sold</t>
  </si>
  <si>
    <t>May 21, 2024 19:02:41 PDT</t>
  </si>
  <si>
    <t>Oneida, Tennessee, United States</t>
  </si>
  <si>
    <t>MACARENA</t>
  </si>
  <si>
    <t>More than 10 available / 122 sold</t>
  </si>
  <si>
    <t>Apr 28, 2024 09:27:00 PDT</t>
  </si>
  <si>
    <t>Bentley</t>
  </si>
  <si>
    <t>US $29.12</t>
  </si>
  <si>
    <t>Last One / 5,145 sold</t>
  </si>
  <si>
    <t>May 24, 2024 01:45:52 PDT</t>
  </si>
  <si>
    <t>May 24, 2024 08:24:47 PDT</t>
  </si>
  <si>
    <t>Egg Harbor Township, New Jersey, United States</t>
  </si>
  <si>
    <t>US $38.25/ea</t>
  </si>
  <si>
    <t>More than 10 available / 363 sold</t>
  </si>
  <si>
    <t>May 23, 2024 07:39:28 PDT</t>
  </si>
  <si>
    <t>US $48.95/ea</t>
  </si>
  <si>
    <t>More than 10 available / 969 sold</t>
  </si>
  <si>
    <t>May 23, 2024 08:07:24 PDT</t>
  </si>
  <si>
    <t>US $93.05</t>
  </si>
  <si>
    <t>3 available / 21 sold</t>
  </si>
  <si>
    <t>May 23, 2024 04:02:53 PDT</t>
  </si>
  <si>
    <t>May 22, 2024 20:37:35 PDT</t>
  </si>
  <si>
    <t>US $27.50</t>
  </si>
  <si>
    <t>More than 10 available / 427 sold</t>
  </si>
  <si>
    <t>May 24, 2024 08:44:53 PDT</t>
  </si>
  <si>
    <t>Coach</t>
  </si>
  <si>
    <t>US $36.15/ea</t>
  </si>
  <si>
    <t>487 available / 7,592 sold</t>
  </si>
  <si>
    <t>May 24, 2024 01:43:19 PDT</t>
  </si>
  <si>
    <t>US $44.99</t>
  </si>
  <si>
    <t>May 08, 2024 10:18:58 PDT</t>
  </si>
  <si>
    <t>Coty</t>
  </si>
  <si>
    <t>US $16.90/ea</t>
  </si>
  <si>
    <t>4 available / 34 sold</t>
  </si>
  <si>
    <t>May 07, 2024 11:07:48 PDT</t>
  </si>
  <si>
    <t>Midway City, California, United States</t>
  </si>
  <si>
    <t>US $9.99</t>
  </si>
  <si>
    <t>More than 10 available / 19 sold</t>
  </si>
  <si>
    <t>May 17, 2024 14:13:59 PDT</t>
  </si>
  <si>
    <t>San Gabriel, California, United States</t>
  </si>
  <si>
    <t>US $19.99/ea</t>
  </si>
  <si>
    <t>May 23, 2024 03:58:47 PDT</t>
  </si>
  <si>
    <t>US $43.45/ea</t>
  </si>
  <si>
    <t>More than 10 available / 955 sold</t>
  </si>
  <si>
    <t>May 17, 2024 11:40:16 PDT</t>
  </si>
  <si>
    <t>US $31.95/ea</t>
  </si>
  <si>
    <t>2 available / 10 sold</t>
  </si>
  <si>
    <t>May 18, 2024 19:41:43 PDT</t>
  </si>
  <si>
    <t>TX, United States</t>
  </si>
  <si>
    <t>US $78.99</t>
  </si>
  <si>
    <t>More than 10 available / 142 sold</t>
  </si>
  <si>
    <t>May 03, 2024 14:45:35 PDT</t>
  </si>
  <si>
    <t>US $25.79</t>
  </si>
  <si>
    <t>May 23, 2024 23:20:23 PDT</t>
  </si>
  <si>
    <t>Lanvin</t>
  </si>
  <si>
    <t>US $17.99/ea</t>
  </si>
  <si>
    <t>138 available / 1,955 sold</t>
  </si>
  <si>
    <t>May 24, 2024 09:10:18 PDT</t>
  </si>
  <si>
    <t>le parfum</t>
  </si>
  <si>
    <t>2 available / 16 sold</t>
  </si>
  <si>
    <t>May 24, 2024 02:09:23 PDT</t>
  </si>
  <si>
    <t>US $41.98/ea</t>
  </si>
  <si>
    <t>66 available / 4,234 sold</t>
  </si>
  <si>
    <t>May 23, 2024 15:18:17 PDT</t>
  </si>
  <si>
    <t>US $124.99</t>
  </si>
  <si>
    <t>4 available / 13 sold</t>
  </si>
  <si>
    <t>Taiwan, Taiwan</t>
  </si>
  <si>
    <t>US $19.90/ea</t>
  </si>
  <si>
    <t>More than 10 available / 294 sold</t>
  </si>
  <si>
    <t>May 02, 2024 13:48:09 PDT</t>
  </si>
  <si>
    <t>Rochester, New York, United States</t>
  </si>
  <si>
    <t>US $23.00/ea</t>
  </si>
  <si>
    <t>6 available / 9 sold</t>
  </si>
  <si>
    <t>May 13, 2024 09:37:01 PDT</t>
  </si>
  <si>
    <t>Glendora, California, United States</t>
  </si>
  <si>
    <t>8 available / 25 sold</t>
  </si>
  <si>
    <t>May 24, 2024 00:24:35 PDT</t>
  </si>
  <si>
    <t>California or Hong Kong, Hong Kong</t>
  </si>
  <si>
    <t>US $37.89</t>
  </si>
  <si>
    <t>Limited quantity available / 1,242 sold</t>
  </si>
  <si>
    <t>May 24, 2024 06:55:05 PDT</t>
  </si>
  <si>
    <t>US $21.15/ea</t>
  </si>
  <si>
    <t>95 available / 739 sold</t>
  </si>
  <si>
    <t>May 15, 2024 19:05:45 PDT</t>
  </si>
  <si>
    <t>Eau de Toilette Intense</t>
  </si>
  <si>
    <t>US $59.00/ea</t>
  </si>
  <si>
    <t>10 available / 601 sold</t>
  </si>
  <si>
    <t>May 24, 2024 09:57:09 PDT</t>
  </si>
  <si>
    <t>US $25.81/ea</t>
  </si>
  <si>
    <t>95 available / 1,424 sold</t>
  </si>
  <si>
    <t>May 24, 2024 09:58:09 PDT</t>
  </si>
  <si>
    <t>Claude Marsal</t>
  </si>
  <si>
    <t>US $180.00</t>
  </si>
  <si>
    <t>Last One / 9 sold</t>
  </si>
  <si>
    <t>Feb 21, 2024 16:08:12 PST</t>
  </si>
  <si>
    <t>Orlando, Florida, United States</t>
  </si>
  <si>
    <t>US $160.91/ea</t>
  </si>
  <si>
    <t>Limited quantity available / 386 sold</t>
  </si>
  <si>
    <t>May 21, 2024 07:53:03 PDT</t>
  </si>
  <si>
    <t>May 23, 2024 12:08:57 PDT</t>
  </si>
  <si>
    <t>US $25.95</t>
  </si>
  <si>
    <t>More than 10 available / 280 sold</t>
  </si>
  <si>
    <t>May 12, 2024 17:11:04 PDT</t>
  </si>
  <si>
    <t>US $144.99</t>
  </si>
  <si>
    <t>More than 10 available / 145 sold</t>
  </si>
  <si>
    <t>May 24, 2024 10:07:16 PDT</t>
  </si>
  <si>
    <t>US $38.97</t>
  </si>
  <si>
    <t>More than 10 available / 4 sold</t>
  </si>
  <si>
    <t>US $32.98/ea</t>
  </si>
  <si>
    <t>More than 10 available / 4,427 sold</t>
  </si>
  <si>
    <t>May 23, 2024 23:46:32 PDT</t>
  </si>
  <si>
    <t>Eau de Cologne Spray, Cologne Spray</t>
  </si>
  <si>
    <t>US $33.99/ea</t>
  </si>
  <si>
    <t>155 available / 6,634 sold</t>
  </si>
  <si>
    <t>May 22, 2024 10:02:50 PDT</t>
  </si>
  <si>
    <t>US $62.09/ea</t>
  </si>
  <si>
    <t>More than 10 available / 125 sold</t>
  </si>
  <si>
    <t>May 22, 2024 12:02:22 PDT</t>
  </si>
  <si>
    <t>NIKOS</t>
  </si>
  <si>
    <t>US $12.23/ea</t>
  </si>
  <si>
    <t>More than 10 available / 1,128 sold</t>
  </si>
  <si>
    <t>May 22, 2024 09:28:38 PDT</t>
  </si>
  <si>
    <t>US $31.29/ea</t>
  </si>
  <si>
    <t>40 available / 349 sold</t>
  </si>
  <si>
    <t>May 24, 2024 07:16:10 PDT</t>
  </si>
  <si>
    <t>US $69.55</t>
  </si>
  <si>
    <t>3 available / 16 sold</t>
  </si>
  <si>
    <t>May 23, 2024 17:44:35 PDT</t>
  </si>
  <si>
    <t>US $26.52/ea</t>
  </si>
  <si>
    <t>Limited quantity available / 1,866 sold</t>
  </si>
  <si>
    <t>May 24, 2024 07:55:09 PDT</t>
  </si>
  <si>
    <t>US $14.60</t>
  </si>
  <si>
    <t>5 available / 94 sold</t>
  </si>
  <si>
    <t>May 22, 2024 23:30:09 PDT</t>
  </si>
  <si>
    <t>Toronto, Ontario, Canada</t>
  </si>
  <si>
    <t>Lucianno</t>
  </si>
  <si>
    <t>Extrait De Parfum</t>
  </si>
  <si>
    <t>C $66.00</t>
  </si>
  <si>
    <t>More than 10 available / 21 sold</t>
  </si>
  <si>
    <t>May 24, 2024 02:33:19 PDT</t>
  </si>
  <si>
    <t>Scarborough, Ontario, Canada</t>
  </si>
  <si>
    <t>Viktor &amp; Rolf</t>
  </si>
  <si>
    <t>US $86.72/ea</t>
  </si>
  <si>
    <t>More than 10 available / 1,296 sold</t>
  </si>
  <si>
    <t>May 23, 2024 19:12:32 PDT</t>
  </si>
  <si>
    <t>Fine Cologne</t>
  </si>
  <si>
    <t>US $26.10</t>
  </si>
  <si>
    <t>4 available / 4,934 sold</t>
  </si>
  <si>
    <t>US $28.20/ea</t>
  </si>
  <si>
    <t>8 available / 24 sold</t>
  </si>
  <si>
    <t>May 21, 2024 10:01:54 PDT</t>
  </si>
  <si>
    <t>US $27.40/ea</t>
  </si>
  <si>
    <t>52 available / 397 sold</t>
  </si>
  <si>
    <t>May 21, 2024 15:07:11 PDT</t>
  </si>
  <si>
    <t>US $17.98</t>
  </si>
  <si>
    <t>More than 10 available / 66 sold</t>
  </si>
  <si>
    <t>May 20, 2024 20:09:23 PDT</t>
  </si>
  <si>
    <t>Austell, Georgia, United States</t>
  </si>
  <si>
    <t>Rochas</t>
  </si>
  <si>
    <t>US $24.55/ea</t>
  </si>
  <si>
    <t>23 available / 433 sold</t>
  </si>
  <si>
    <t>May 02, 2024 01:30:34 PDT</t>
  </si>
  <si>
    <t>PRADA</t>
  </si>
  <si>
    <t>US $90.44/ea</t>
  </si>
  <si>
    <t>Limited quantity available / 587 sold</t>
  </si>
  <si>
    <t>May 24, 2024 08:49:02 PDT</t>
  </si>
  <si>
    <t>5 available / 7 sold</t>
  </si>
  <si>
    <t>May 23, 2024 09:45:25 PDT</t>
  </si>
  <si>
    <t>Classic Brands</t>
  </si>
  <si>
    <t>US $17.89/ea</t>
  </si>
  <si>
    <t>More than 10 available / 2,256 sold</t>
  </si>
  <si>
    <t>May 12, 2024 18:06:36 PDT</t>
  </si>
  <si>
    <t>Winter Garden, Florida, United States</t>
  </si>
  <si>
    <t>REYANE TRADITION</t>
  </si>
  <si>
    <t>US $85.20</t>
  </si>
  <si>
    <t>4 available / 73 sold</t>
  </si>
  <si>
    <t>May 22, 2024 16:53:06 PDT</t>
  </si>
  <si>
    <t>US $108.98</t>
  </si>
  <si>
    <t>May 24, 2024 07:43:03 PDT</t>
  </si>
  <si>
    <t>Giorgio Beverly Hills</t>
  </si>
  <si>
    <t>US $16.04/ea</t>
  </si>
  <si>
    <t>31 available / 2,817 sold</t>
  </si>
  <si>
    <t>May 22, 2024 12:50:13 PDT</t>
  </si>
  <si>
    <t>US $45.98/ea</t>
  </si>
  <si>
    <t>7 available / 343 sold</t>
  </si>
  <si>
    <t>May 20, 2024 12:28:06 PDT</t>
  </si>
  <si>
    <t>US $84.73/ea</t>
  </si>
  <si>
    <t>Limited quantity available / 2,774 sold</t>
  </si>
  <si>
    <t>May 21, 2024 06:58:02 PDT</t>
  </si>
  <si>
    <t>8 available / 35 sold</t>
  </si>
  <si>
    <t>May 24, 2024 05:43:37 PDT</t>
  </si>
  <si>
    <t>US $45.00/ea</t>
  </si>
  <si>
    <t>8 available / 37 sold</t>
  </si>
  <si>
    <t>May 17, 2024 09:22:33 PDT</t>
  </si>
  <si>
    <t>San Diego, California, United States</t>
  </si>
  <si>
    <t>10 available / 121 sold</t>
  </si>
  <si>
    <t>May 23, 2024 08:44:06 PDT</t>
  </si>
  <si>
    <t>US $10.70</t>
  </si>
  <si>
    <t>5 available / 163 sold</t>
  </si>
  <si>
    <t>May 24, 2024 00:31:08 PDT</t>
  </si>
  <si>
    <t>US $27.10/ea</t>
  </si>
  <si>
    <t>8 available / 28 sold</t>
  </si>
  <si>
    <t>May 22, 2024 10:22:29 PDT</t>
  </si>
  <si>
    <t>10 available / 92 sold</t>
  </si>
  <si>
    <t>May 23, 2024 17:35:18 PDT</t>
  </si>
  <si>
    <t>US $212.89/ea</t>
  </si>
  <si>
    <t>More than 10 available / 53 sold</t>
  </si>
  <si>
    <t>May 24, 2024 08:50:32 PDT</t>
  </si>
  <si>
    <t>US $71.98/ea</t>
  </si>
  <si>
    <t>Limited quantity available / 2,153 sold</t>
  </si>
  <si>
    <t>May 22, 2024 08:31:19 PDT</t>
  </si>
  <si>
    <t>US $89.98/ea</t>
  </si>
  <si>
    <t>8 available / 1,243 sold</t>
  </si>
  <si>
    <t>May 22, 2024 01:59:02 PDT</t>
  </si>
  <si>
    <t>US $43.47</t>
  </si>
  <si>
    <t>More than 10 available / 34 sold</t>
  </si>
  <si>
    <t>May 12, 2024 17:40:33 PDT</t>
  </si>
  <si>
    <t>Hong Kong or Virginia, Hong Kong</t>
  </si>
  <si>
    <t>Myrurgia</t>
  </si>
  <si>
    <t>US $9.98/ea</t>
  </si>
  <si>
    <t>36 available / 8,453 sold</t>
  </si>
  <si>
    <t>May 21, 2024 13:43:42 PDT</t>
  </si>
  <si>
    <t>US $24.40</t>
  </si>
  <si>
    <t>50 available / 14 sold</t>
  </si>
  <si>
    <t>May 23, 2024 17:21:52 PDT</t>
  </si>
  <si>
    <t>Ronkonkoma, New York, United States</t>
  </si>
  <si>
    <t>C $50.00</t>
  </si>
  <si>
    <t>May 23, 2024 16:03:42 PDT</t>
  </si>
  <si>
    <t>Jovan</t>
  </si>
  <si>
    <t>US $10.19/ea</t>
  </si>
  <si>
    <t>44 available / 330 sold</t>
  </si>
  <si>
    <t>May 13, 2024 09:31:59 PDT</t>
  </si>
  <si>
    <t>Coty Inc.</t>
  </si>
  <si>
    <t>Does not apply</t>
  </si>
  <si>
    <t>US $9.21</t>
  </si>
  <si>
    <t>5 available / 72 sold</t>
  </si>
  <si>
    <t>May 24, 2024 07:35:23 PDT</t>
  </si>
  <si>
    <t>US $16.97</t>
  </si>
  <si>
    <t>May 15, 2024 18:42:00 PDT</t>
  </si>
  <si>
    <t>Buhl, Idaho, United States</t>
  </si>
  <si>
    <t>US $78.99/ea</t>
  </si>
  <si>
    <t>More than 10 available / 743 sold</t>
  </si>
  <si>
    <t>May 22, 2024 11:57:53 PDT</t>
  </si>
  <si>
    <t>US $19.16/ea</t>
  </si>
  <si>
    <t>72 available / 348 sold</t>
  </si>
  <si>
    <t>May 24, 2024 01:43:20 PDT</t>
  </si>
  <si>
    <t>MONT BLANC LEGEND</t>
  </si>
  <si>
    <t>US $33.50</t>
  </si>
  <si>
    <t>Limited quantity available / 1,511 sold</t>
  </si>
  <si>
    <t>May 22, 2024 16:32:56 PDT</t>
  </si>
  <si>
    <t>KING OF KINGS</t>
  </si>
  <si>
    <t>9 available / 15 sold</t>
  </si>
  <si>
    <t>May 15, 2024 12:51:02 PDT</t>
  </si>
  <si>
    <t>Ulric de Varens</t>
  </si>
  <si>
    <t>US $22.00</t>
  </si>
  <si>
    <t>49 available / 1 sold</t>
  </si>
  <si>
    <t>Emporio Armani</t>
  </si>
  <si>
    <t>US $84.99</t>
  </si>
  <si>
    <t>3 available / 7 sold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</si>
  <si>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</si>
  <si>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</si>
  <si>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</si>
  <si>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</si>
  <si>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</si>
  <si>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US $22.79/ea</t>
  </si>
  <si>
    <t>May 24, 2024 07:55:54 PDT</t>
  </si>
  <si>
    <t>EDT</t>
  </si>
  <si>
    <t>US $52.99</t>
  </si>
  <si>
    <t>More than 10 available / 117 sold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</si>
  <si>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</si>
  <si>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</si>
  <si>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</si>
  <si>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</si>
  <si>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</si>
  <si>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</si>
  <si>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</si>
  <si>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3 available / 6 sold</t>
  </si>
  <si>
    <t>May 22, 2024 19:20:44 PDT</t>
  </si>
  <si>
    <t>10 available / 83 sold</t>
  </si>
  <si>
    <t>May 23, 2024 05:27:24 PDT</t>
  </si>
  <si>
    <t>Maison Francis Kurkdjian</t>
  </si>
  <si>
    <t>US $140.00</t>
  </si>
  <si>
    <t>24 available / 6 sold</t>
  </si>
  <si>
    <t>May 20, 2024 12:54:11 PDT</t>
  </si>
  <si>
    <t>US $74.99</t>
  </si>
  <si>
    <t>2 available / 60 sold</t>
  </si>
  <si>
    <t>May 23, 2024 02:25:57 PDT</t>
  </si>
  <si>
    <t>US $26.99/ea</t>
  </si>
  <si>
    <t>9 available / 75 sold</t>
  </si>
  <si>
    <t>May 18, 2024 16:44:20 PDT</t>
  </si>
  <si>
    <t>US $52.97/ea</t>
  </si>
  <si>
    <t>Limited quantity available / 1,683 sold</t>
  </si>
  <si>
    <t>May 24, 2024 08:14:55 PDT</t>
  </si>
  <si>
    <t>US $22.61/ea</t>
  </si>
  <si>
    <t>52 available / 619 sold</t>
  </si>
  <si>
    <t>May 24, 2024 06:34:10 PDT</t>
  </si>
  <si>
    <t>US $72.99/ea</t>
  </si>
  <si>
    <t>6 available / 235 sold</t>
  </si>
  <si>
    <t>May 24, 2024 05:51:04 PDT</t>
  </si>
  <si>
    <t>Fragrance World</t>
  </si>
  <si>
    <t>US $27.99</t>
  </si>
  <si>
    <t>3 available / 1 sold</t>
  </si>
  <si>
    <t>May 23, 2024 19:57:55 PDT</t>
  </si>
  <si>
    <t>More than 10 available / 50 sold</t>
  </si>
  <si>
    <t>May 22, 2024 13:09:58 PDT</t>
  </si>
  <si>
    <t>US $169.00</t>
  </si>
  <si>
    <t>Winter Haven, Florida, United States</t>
  </si>
  <si>
    <t>US $27.94</t>
  </si>
  <si>
    <t>Last One / 717 sold</t>
  </si>
  <si>
    <t>May 23, 2024 22:18:49 PDT</t>
  </si>
  <si>
    <t>Modesto, California, United States</t>
  </si>
  <si>
    <t>US $12.95/ea</t>
  </si>
  <si>
    <t>May 18, 2024 19:20:42 PDT</t>
  </si>
  <si>
    <t>US $23.99/ea</t>
  </si>
  <si>
    <t>More than 10 available / 10 sold</t>
  </si>
  <si>
    <t>May 23, 2024 18:07:56 PDT</t>
  </si>
  <si>
    <t>US $24.99</t>
  </si>
  <si>
    <t>12 available / 6 sold</t>
  </si>
  <si>
    <t>May 23, 2024 15:09:18 PDT</t>
  </si>
  <si>
    <t>Seattle, Washington, United States</t>
  </si>
  <si>
    <t>May 24, 2024 06:45:32 PDT</t>
  </si>
  <si>
    <t>HK, Hong Kong</t>
  </si>
  <si>
    <t>US $26.00/ea</t>
  </si>
  <si>
    <t>92 available / 1,337 sold</t>
  </si>
  <si>
    <t>May 24, 2024 07:41:09 PDT</t>
  </si>
  <si>
    <t>US $90.44</t>
  </si>
  <si>
    <t>Last One / 1 sold</t>
  </si>
  <si>
    <t>May 24, 2024 00:10:31 PDT</t>
  </si>
  <si>
    <t>Allsaints</t>
  </si>
  <si>
    <t>More than 10 available / 13 sold</t>
  </si>
  <si>
    <t>Mar 16, 2024 18:36:03 PDT</t>
  </si>
  <si>
    <t>Salem, Virginia, United States</t>
  </si>
  <si>
    <t>More than 10 available / 17 sold</t>
  </si>
  <si>
    <t>May 08, 2024 01:44:16 PDT</t>
  </si>
  <si>
    <t>Nevada/California, USA, Hong Kong, Hong Kong</t>
  </si>
  <si>
    <t>More than 10 available / 573 sold</t>
  </si>
  <si>
    <t>May 24, 2024 08:09:37 PDT</t>
  </si>
  <si>
    <t>US $10.99</t>
  </si>
  <si>
    <t>More than 10 available / 35 sold</t>
  </si>
  <si>
    <t>May 18, 2024 14:48:44 PDT</t>
  </si>
  <si>
    <t>US $47.34/ea</t>
  </si>
  <si>
    <t>4 available / 14 sold</t>
  </si>
  <si>
    <t>Westminster, California, United States</t>
  </si>
  <si>
    <t>5 available / 111 sold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</si>
  <si>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</si>
  <si>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</si>
  <si>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</si>
  <si>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</si>
  <si>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</si>
  <si>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</si>
  <si>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6 available / 38 sold</t>
  </si>
  <si>
    <t>May 22, 2024 08:28:58 PDT</t>
  </si>
  <si>
    <t>US $28.02/ea</t>
  </si>
  <si>
    <t>Limited quantity available / 5,377 sold</t>
  </si>
  <si>
    <t>May 23, 2024 00:47:54 PDT</t>
  </si>
  <si>
    <t>More than 10 available / 45 sold</t>
  </si>
  <si>
    <t>May 21, 2024 16:11:07 PDT</t>
  </si>
  <si>
    <t>Yves de Sistelle</t>
  </si>
  <si>
    <t>US $19.75/ea</t>
  </si>
  <si>
    <t>82 available / 7,253 sold</t>
  </si>
  <si>
    <t>May 21, 2024 10:02:07 PDT</t>
  </si>
  <si>
    <t>Chanel</t>
  </si>
  <si>
    <t>More than 10 available / 286 sold</t>
  </si>
  <si>
    <t>Jan 10, 2024 14:19:12 PST</t>
  </si>
  <si>
    <t>More than 10 available / 40 sold</t>
  </si>
  <si>
    <t>Feb 08, 2024 10:42:37 PST</t>
  </si>
  <si>
    <t>12 available / 140 sold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</si>
  <si>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</si>
  <si>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</si>
  <si>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</si>
  <si>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</si>
  <si>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</si>
  <si>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</si>
  <si>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</si>
  <si>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More than 10 available / 31 sold</t>
  </si>
  <si>
    <t>May 17, 2024 11:38:55 PDT</t>
  </si>
  <si>
    <t>US $36.95/ea</t>
  </si>
  <si>
    <t>36 available / 109 sold</t>
  </si>
  <si>
    <t>May 16, 2024 09:13:23 PDT</t>
  </si>
  <si>
    <t>Bond No. 9</t>
  </si>
  <si>
    <t>May 16, 2024 12:30:51 PDT</t>
  </si>
  <si>
    <t>More than 10 available / 22 sold</t>
  </si>
  <si>
    <t>May 22, 2024 18:38:27 PDT</t>
  </si>
  <si>
    <t>ShenZhen, China</t>
  </si>
  <si>
    <t>US $17.34</t>
  </si>
  <si>
    <t>More than 10 available / 460 sold</t>
  </si>
  <si>
    <t>May 19, 2024 09:13:03 PDT</t>
  </si>
  <si>
    <t>US $13.00/ea</t>
  </si>
  <si>
    <t>7 available / 11 sold</t>
  </si>
  <si>
    <t>May 24, 2024 07:51:28 PDT</t>
  </si>
  <si>
    <t>US $114.99/ea</t>
  </si>
  <si>
    <t>10 available / 539 sold</t>
  </si>
  <si>
    <t>May 23, 2024 22:43:23 PDT</t>
  </si>
  <si>
    <t>May 17, 2024 11:19:13 PDT</t>
  </si>
  <si>
    <t>May 23, 2024 05:27:01 PDT</t>
  </si>
  <si>
    <t>Acqua di Parma</t>
  </si>
  <si>
    <t>US $69.97/ea</t>
  </si>
  <si>
    <t>5 available / 244 sold</t>
  </si>
  <si>
    <t>May 22, 2024 23:22:50 PDT</t>
  </si>
  <si>
    <t>US $31.95</t>
  </si>
  <si>
    <t>May 15, 2024 07:37:26 PDT</t>
  </si>
  <si>
    <t>8 available / 39 sold</t>
  </si>
  <si>
    <t>May 19, 2024 22:59:41 PDT</t>
  </si>
  <si>
    <t>Midway City, California, Hong Kong</t>
  </si>
  <si>
    <t>4 available / 11 sold</t>
  </si>
  <si>
    <t>Apr 21, 2024 19:30:34 PDT</t>
  </si>
  <si>
    <t>AS PHOTOS</t>
  </si>
  <si>
    <t>US $34.68/ea</t>
  </si>
  <si>
    <t>8 available / 2 sold</t>
  </si>
  <si>
    <t>US $56.95/ea</t>
  </si>
  <si>
    <t>More than 10 available / 700 sold</t>
  </si>
  <si>
    <t>May 17, 2024 11:39:38 PDT</t>
  </si>
  <si>
    <t>6 available / 39 sold</t>
  </si>
  <si>
    <t>May 24, 2024 09:46:54 PDT</t>
  </si>
  <si>
    <t>GUERLAIN PARIS</t>
  </si>
  <si>
    <t>US $100.00/ea</t>
  </si>
  <si>
    <t>May 18, 2024 02:04:20 PDT</t>
  </si>
  <si>
    <t>Graham, Washington, United States</t>
  </si>
  <si>
    <t>8 available / 10 sold</t>
  </si>
  <si>
    <t>May 19, 2024 18:09:04 PDT</t>
  </si>
  <si>
    <t>US $88.00</t>
  </si>
  <si>
    <t>May 23, 2024 22:52:22 PDT</t>
  </si>
  <si>
    <t>South San Francisco, California, United States</t>
  </si>
  <si>
    <t>Al Haramain</t>
  </si>
  <si>
    <t>3 available / 12 sold</t>
  </si>
  <si>
    <t>May 22, 2024 05:56:33 PDT</t>
  </si>
  <si>
    <t>Mar 09, 2024 18:25:15 PST</t>
  </si>
  <si>
    <t>Spring Hill, Florida, United States</t>
  </si>
  <si>
    <t>13 available / 178 sold</t>
  </si>
  <si>
    <t>May 21, 2024 13:41:28 PDT</t>
  </si>
  <si>
    <t>Fort Lauderdale, Florida, United States</t>
  </si>
  <si>
    <t>US $62.08/ea</t>
  </si>
  <si>
    <t>Limited quantity available / 950 sold</t>
  </si>
  <si>
    <t>May 22, 2024 06:00:02 PDT</t>
  </si>
  <si>
    <t>Apr 12, 2024 21:26:05 PDT</t>
  </si>
  <si>
    <t>US $53.98/ea</t>
  </si>
  <si>
    <t>Limited quantity available / 869 sold</t>
  </si>
  <si>
    <t>May 24, 2024 03:56:56 PDT</t>
  </si>
  <si>
    <t>8 available / 111 sold</t>
  </si>
  <si>
    <t>May 18, 2024 03:34:53 PDT</t>
  </si>
  <si>
    <t>US $155.65/ea</t>
  </si>
  <si>
    <t>More than 10 available / 593 sold</t>
  </si>
  <si>
    <t>May 24, 2024 07:56:19 PDT</t>
  </si>
  <si>
    <t>10 available / 18 sold</t>
  </si>
  <si>
    <t>May 14, 2024 13:19:07 PDT</t>
  </si>
  <si>
    <t>Schenectady, New York, United States</t>
  </si>
  <si>
    <t>US $99.98/ea</t>
  </si>
  <si>
    <t>10 available / 740 sold</t>
  </si>
  <si>
    <t>May 22, 2024 11:52:44 PDT</t>
  </si>
  <si>
    <t>US $88.65/ea</t>
  </si>
  <si>
    <t>May 23, 2024 11:43:18 PDT</t>
  </si>
  <si>
    <t>US $153.00</t>
  </si>
  <si>
    <t>More than 10 available / 23 sold</t>
  </si>
  <si>
    <t>May 17, 2024 09:38:12 PDT</t>
  </si>
  <si>
    <t>Roja Parfums</t>
  </si>
  <si>
    <t>7 available / 13 sold</t>
  </si>
  <si>
    <t>May 21, 2024 07:11:45 PDT</t>
  </si>
  <si>
    <t>Narciso Rodriguez</t>
  </si>
  <si>
    <t>US $59.09/ea</t>
  </si>
  <si>
    <t>More than 10 available / 432 sold</t>
  </si>
  <si>
    <t>May 21, 2024 20:17:38 PDT</t>
  </si>
  <si>
    <t>US $7.95</t>
  </si>
  <si>
    <t>5 available / 254 sold</t>
  </si>
  <si>
    <t>May 24, 2024 00:33:04 PDT</t>
  </si>
  <si>
    <t>8 available / 26 sold</t>
  </si>
  <si>
    <t>May 04, 2024 05:57:21 PDT</t>
  </si>
  <si>
    <t>Rowland Heights, California, United States</t>
  </si>
  <si>
    <t>US $68.61</t>
  </si>
  <si>
    <t>3 available / 10 sold</t>
  </si>
  <si>
    <t>May 23, 2024 13:26:47 PDT</t>
  </si>
  <si>
    <t>US $12.49/ea</t>
  </si>
  <si>
    <t>May 15, 2024 11:28:53 PDT</t>
  </si>
  <si>
    <t>Princeton, New Jersey, United States</t>
  </si>
  <si>
    <t>Limited quantity available / 1,333 sold</t>
  </si>
  <si>
    <t>May 21, 2024 15:07:29 PDT</t>
  </si>
  <si>
    <t>US $70.65/ea</t>
  </si>
  <si>
    <t>Limited quantity available / 4,802 sold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</si>
  <si>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</si>
  <si>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</si>
  <si>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</si>
  <si>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</si>
  <si>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</si>
  <si>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</si>
  <si>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</si>
  <si>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8 available / 89 sold</t>
  </si>
  <si>
    <t>May 24, 2024 05:53:37 PDT</t>
  </si>
  <si>
    <t>Fenton, Michigan, United States</t>
  </si>
  <si>
    <t>US $66.39/ea</t>
  </si>
  <si>
    <t>62 available / 1,819 sold</t>
  </si>
  <si>
    <t>May 24, 2024 10:12:08 PDT</t>
  </si>
  <si>
    <t>US $26.90</t>
  </si>
  <si>
    <t>More than 10 available / 264 sold</t>
  </si>
  <si>
    <t>May 18, 2024 10:55:29 PDT</t>
  </si>
  <si>
    <t>Centralia, Washington, United States</t>
  </si>
  <si>
    <t>US $16.48</t>
  </si>
  <si>
    <t>May 16, 2024 16:30:41 PDT</t>
  </si>
  <si>
    <t>US $65.00/ea</t>
  </si>
  <si>
    <t>More than 10 available / 485 sold</t>
  </si>
  <si>
    <t>May 17, 2024 11:37:19 PDT</t>
  </si>
  <si>
    <t>May 10, 2024 10:59:33 PDT</t>
  </si>
  <si>
    <t>US $9.21/ea</t>
  </si>
  <si>
    <t>202 available / 3,093 sold</t>
  </si>
  <si>
    <t>May 02, 2024 01:30:50 PDT</t>
  </si>
  <si>
    <t>Brut</t>
  </si>
  <si>
    <t>9 available / 48 sold</t>
  </si>
  <si>
    <t>More than 10 available / 150 sold</t>
  </si>
  <si>
    <t>May 15, 2024 15:14:22 PDT</t>
  </si>
  <si>
    <t>3 available / 189 sold</t>
  </si>
  <si>
    <t>Apr 23, 2024 19:35:29 PDT</t>
  </si>
  <si>
    <t>US $71.99</t>
  </si>
  <si>
    <t>5 available / 3 sold</t>
  </si>
  <si>
    <t>May 21, 2024 00:10:23 PDT</t>
  </si>
  <si>
    <t>NewYork, Hong Kong</t>
  </si>
  <si>
    <t>Ed Hardy</t>
  </si>
  <si>
    <t>US $20.25/ea</t>
  </si>
  <si>
    <t>311 available / 6,633 sold</t>
  </si>
  <si>
    <t>May 23, 2024 14:38:05 PDT</t>
  </si>
  <si>
    <t>May 15, 2024 17:31:27 PDT</t>
  </si>
  <si>
    <t>US $9.95/ea</t>
  </si>
  <si>
    <t>5 available / 269 sold</t>
  </si>
  <si>
    <t>May 21, 2024 05:43:41 PDT</t>
  </si>
  <si>
    <t xml:space="preserve"> Beauty Maxima, United States, United States</t>
  </si>
  <si>
    <t>Hollister</t>
  </si>
  <si>
    <t>US $28.97/ea</t>
  </si>
  <si>
    <t>US $28.11/ea</t>
  </si>
  <si>
    <t>7 available / 542 sold</t>
  </si>
  <si>
    <t>May 24, 2024 08:33:10 PDT</t>
  </si>
  <si>
    <t>FM</t>
  </si>
  <si>
    <t>Editions Parfums</t>
  </si>
  <si>
    <t>US $16.85/ea</t>
  </si>
  <si>
    <t>4 available / 16 sold</t>
  </si>
  <si>
    <t>May 20, 2024 06:43:11 PDT</t>
  </si>
  <si>
    <t>Nashua, New Hampshire, United States</t>
  </si>
  <si>
    <t>US $103.98</t>
  </si>
  <si>
    <t>Limited quantity available / 350 sold</t>
  </si>
  <si>
    <t>May 22, 2024 16:56:40 PDT</t>
  </si>
  <si>
    <t>13 available / 35 sold</t>
  </si>
  <si>
    <t>May 24, 2024 06:43:00 PDT</t>
  </si>
  <si>
    <t>DIOR HOMME COLOGNE</t>
  </si>
  <si>
    <t>7 available / 129 sold</t>
  </si>
  <si>
    <t>May 22, 2024 09:17:01 PDT</t>
  </si>
  <si>
    <t>Union, New Jersey, United States</t>
  </si>
  <si>
    <t>Last One / 2 sold</t>
  </si>
  <si>
    <t>Franklin Square, New York, United States</t>
  </si>
  <si>
    <t>Last One / 7 sold</t>
  </si>
  <si>
    <t>Paris Hilton</t>
  </si>
  <si>
    <t>16 available / 2,093 sold</t>
  </si>
  <si>
    <t>May 13, 2024 19:01:09 PDT</t>
  </si>
  <si>
    <t>US $33.37/ea</t>
  </si>
  <si>
    <t>5 available / 400 sold</t>
  </si>
  <si>
    <t>May 23, 2024 11:42:30 PDT</t>
  </si>
  <si>
    <t>US $64.99/ea</t>
  </si>
  <si>
    <t>10 available / 313 sold</t>
  </si>
  <si>
    <t>May 24, 2024 01:41:58 PDT</t>
  </si>
  <si>
    <t>May 23, 2024 10:39:37 PDT</t>
  </si>
  <si>
    <t>Sterrett, Alabama, United States</t>
  </si>
  <si>
    <t>US $24.15/ea</t>
  </si>
  <si>
    <t>5 available / 27 sold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</si>
  <si>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</si>
  <si>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</si>
  <si>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</si>
  <si>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</si>
  <si>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</si>
  <si>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6 available / 10 sold</t>
  </si>
  <si>
    <t>5 available / 8 sold</t>
  </si>
  <si>
    <t>May 23, 2024 07:48:48 PDT</t>
  </si>
  <si>
    <t>Romulus, Michigan, United States</t>
  </si>
  <si>
    <t>20 available / 15 sold</t>
  </si>
  <si>
    <t>May 24, 2024 02:29:59 PDT</t>
  </si>
  <si>
    <t>Heaven Scents</t>
  </si>
  <si>
    <t>4 available / 46 sold</t>
  </si>
  <si>
    <t>May 11, 2024 15:09:30 PDT</t>
  </si>
  <si>
    <t>Bridgeview, Illinois, United States</t>
  </si>
  <si>
    <t>US $49.49/ea</t>
  </si>
  <si>
    <t>More than 10 available / 463 sold</t>
  </si>
  <si>
    <t>May 23, 2024 08:07:45 PDT</t>
  </si>
  <si>
    <t>US $24.99/ea</t>
  </si>
  <si>
    <t>May 24, 2024 04:29:16 PDT</t>
  </si>
  <si>
    <t>129 available / 229 sold</t>
  </si>
  <si>
    <t>May 24, 2024 06:09:16 PDT</t>
  </si>
  <si>
    <t>8 available / 248 sold</t>
  </si>
  <si>
    <t>May 17, 2024 12:14:48 PDT</t>
  </si>
  <si>
    <t>May 15, 2024 11:50:00 PDT</t>
  </si>
  <si>
    <t>May 18, 2024 15:24:03 PDT</t>
  </si>
  <si>
    <t>15 available / 248 sold</t>
  </si>
  <si>
    <t>May 24, 2024 07:21:29 PDT</t>
  </si>
  <si>
    <t>US $84.59</t>
  </si>
  <si>
    <t>3 available / 19 sold</t>
  </si>
  <si>
    <t>May 23, 2024 22:26:34 PDT</t>
  </si>
  <si>
    <t>US $75.99/ea</t>
  </si>
  <si>
    <t>2 available / 8 sold</t>
  </si>
  <si>
    <t>May 24, 2024 00:48:30 PDT</t>
  </si>
  <si>
    <t>More than 10 available / 207 sold</t>
  </si>
  <si>
    <t>May 23, 2024 08:07:32 PDT</t>
  </si>
  <si>
    <t>Lincoln Park, Michigan, United States</t>
  </si>
  <si>
    <t>US $64.88/ea</t>
  </si>
  <si>
    <t>16 available / 292 sold</t>
  </si>
  <si>
    <t>May 20, 2024 18:27:48 PDT</t>
  </si>
  <si>
    <t>5 available / 21 sold</t>
  </si>
  <si>
    <t>May 18, 2024 08:34:44 PDT</t>
  </si>
  <si>
    <t>US $32.62/ea</t>
  </si>
  <si>
    <t>More than 10 available / 242 sold</t>
  </si>
  <si>
    <t>May 23, 2024 09:27:28 PDT</t>
  </si>
  <si>
    <t>US $37.59/ea</t>
  </si>
  <si>
    <t>Apr 12, 2024 09:33:58 PDT</t>
  </si>
  <si>
    <t>US $29.46</t>
  </si>
  <si>
    <t>More than 10 available / 43 sold</t>
  </si>
  <si>
    <t>May 22, 2024 10:10:03 PDT</t>
  </si>
  <si>
    <t>US $25.10/ea</t>
  </si>
  <si>
    <t>Limited quantity available / 5,076 sold</t>
  </si>
  <si>
    <t>May 22, 2024 18:19:59 PDT</t>
  </si>
  <si>
    <t>9 available / 6 sold</t>
  </si>
  <si>
    <t>May 24, 2024 05:51:42 PDT</t>
  </si>
  <si>
    <t>9 available / 35 sold</t>
  </si>
  <si>
    <t>May 24, 2024 02:00:07 PDT</t>
  </si>
  <si>
    <t>US $32.50/ea</t>
  </si>
  <si>
    <t>40 available / 634 sold</t>
  </si>
  <si>
    <t>May 10, 2024 10:21:09 PDT</t>
  </si>
  <si>
    <t>6 available / 40 sold</t>
  </si>
  <si>
    <t>May 22, 2024 10:16:51 PDT</t>
  </si>
  <si>
    <t>Fourmile, Kentucky, United States</t>
  </si>
  <si>
    <t>US $84.60/ea</t>
  </si>
  <si>
    <t>Limited quantity available / 111 sold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</si>
  <si>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</si>
  <si>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</si>
  <si>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</si>
  <si>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</si>
  <si>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</si>
  <si>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</si>
  <si>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</si>
  <si>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</si>
  <si>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</si>
  <si>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</si>
  <si>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More than 10 available / 257 sold</t>
  </si>
  <si>
    <t>Mar 24, 2024 07:42:00 PDT</t>
  </si>
  <si>
    <t>Hicksville, New York, United States</t>
  </si>
  <si>
    <t>7 available / 27 sold</t>
  </si>
  <si>
    <t>May 22, 2024 10:04:40 PDT</t>
  </si>
  <si>
    <t>US $58.95</t>
  </si>
  <si>
    <t>5 available / 12 sold</t>
  </si>
  <si>
    <t>May 23, 2024 21:06:08 PDT</t>
  </si>
  <si>
    <t>US $33.99</t>
  </si>
  <si>
    <t>22 available / 2 sold</t>
  </si>
  <si>
    <t>May 19, 2024 18:24:26 PDT</t>
  </si>
  <si>
    <t>Milestone Perfumes</t>
  </si>
  <si>
    <t>US $34.99</t>
  </si>
  <si>
    <t>8 available / 4 sold</t>
  </si>
  <si>
    <t>Virginia Beach, Virginia, United States</t>
  </si>
  <si>
    <t>US $26.95</t>
  </si>
  <si>
    <t>4 available / 5 sold</t>
  </si>
  <si>
    <t>KENZO</t>
  </si>
  <si>
    <t>10 available / 165 sold</t>
  </si>
  <si>
    <t>May 24, 2024 08:20:39 PDT</t>
  </si>
  <si>
    <t>Mercedes-Benz</t>
  </si>
  <si>
    <t>US $49.81</t>
  </si>
  <si>
    <t>3 available / 15 sold</t>
  </si>
  <si>
    <t>May 22, 2024 20:56:36 PDT</t>
  </si>
  <si>
    <t>10 available / 46 sold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</si>
  <si>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</si>
  <si>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</si>
  <si>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</si>
  <si>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</si>
  <si>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</si>
  <si>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</si>
  <si>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</si>
  <si>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US $28.19</t>
  </si>
  <si>
    <t>May 21, 2024 15:32:31 PDT</t>
  </si>
  <si>
    <t>Eau de Toilette, Cologne Spray</t>
  </si>
  <si>
    <t>US $17.02/ea</t>
  </si>
  <si>
    <t>73 available / 3,823 sold</t>
  </si>
  <si>
    <t>May 09, 2024 16:02:55 PDT</t>
  </si>
  <si>
    <t>More than 10 available / 32 sold</t>
  </si>
  <si>
    <t>May 08, 2024 10:32:03 PDT</t>
  </si>
  <si>
    <t>More than 10 available / 136 sold</t>
  </si>
  <si>
    <t>May 23, 2024 14:39:34 PDT</t>
  </si>
  <si>
    <t>US $23.79/ea</t>
  </si>
  <si>
    <t>5 available / 83 sold</t>
  </si>
  <si>
    <t>May 23, 2024 15:45:55 PDT</t>
  </si>
  <si>
    <t>More than 10 available / 384 sold</t>
  </si>
  <si>
    <t>Mar 27, 2024 09:01:18 PDT</t>
  </si>
  <si>
    <t>US $36.65</t>
  </si>
  <si>
    <t>May 23, 2024 10:20:53 PDT</t>
  </si>
  <si>
    <t>US $33.36/ea</t>
  </si>
  <si>
    <t>4 available / 453 sold</t>
  </si>
  <si>
    <t>May 20, 2024 20:52:08 PDT</t>
  </si>
  <si>
    <t>US $54.52/ea</t>
  </si>
  <si>
    <t>51 available / 143 sold</t>
  </si>
  <si>
    <t>May 23, 2024 08:22:12 PDT</t>
  </si>
  <si>
    <t>US $22.87/ea</t>
  </si>
  <si>
    <t>74 available / 440 sold</t>
  </si>
  <si>
    <t>May 22, 2024 09:09:10 PDT</t>
  </si>
  <si>
    <t>US $129.99</t>
  </si>
  <si>
    <t>Last One / 14 sold</t>
  </si>
  <si>
    <t>May 23, 2024 02:25:32 PDT</t>
  </si>
  <si>
    <t>US $72.56</t>
  </si>
  <si>
    <t>More than 10 available / 3,171 sold</t>
  </si>
  <si>
    <t>May 23, 2024 04:38:13 PDT</t>
  </si>
  <si>
    <t>US $18.96/ea</t>
  </si>
  <si>
    <t>Limited quantity available / 1,034 sold</t>
  </si>
  <si>
    <t>May 20, 2024 22:52:48 PDT</t>
  </si>
  <si>
    <t>US $9.99/ea</t>
  </si>
  <si>
    <t>7 available / 103 sold</t>
  </si>
  <si>
    <t>May 23, 2024 12:45:56 PDT</t>
  </si>
  <si>
    <t>US $67.99/ea</t>
  </si>
  <si>
    <t>5 available / 28 sold</t>
  </si>
  <si>
    <t>Apr 30, 2024 19:09:09 PDT</t>
  </si>
  <si>
    <t>Princeton Junction, New Jersey, United States</t>
  </si>
  <si>
    <t>Franck Olivier</t>
  </si>
  <si>
    <t>May 23, 2024 20:14:23 PDT</t>
  </si>
  <si>
    <t>US $28.42/ea</t>
  </si>
  <si>
    <t>60 available / 731 sold</t>
  </si>
  <si>
    <t>May 19, 2024 19:06:00 PDT</t>
  </si>
  <si>
    <t>Missoni</t>
  </si>
  <si>
    <t>May 23, 2024 20:20:19 PDT</t>
  </si>
  <si>
    <t>Halston</t>
  </si>
  <si>
    <t>US $15.51/ea</t>
  </si>
  <si>
    <t>113 available / 4,443 sold</t>
  </si>
  <si>
    <t>May 21, 2024 06:22:07 PDT</t>
  </si>
  <si>
    <t>US $38.94/ea</t>
  </si>
  <si>
    <t>66 available / 2,247 sold</t>
  </si>
  <si>
    <t>May 24, 2024 10:18:06 PDT</t>
  </si>
  <si>
    <t>6 available / 59 sold</t>
  </si>
  <si>
    <t>May 23, 2024 23:00:53 PDT</t>
  </si>
  <si>
    <t>US $18.00/ea</t>
  </si>
  <si>
    <t>Phenix City, Alabama, United States</t>
  </si>
  <si>
    <t>Apr 29, 2024 17:51:10 PDT</t>
  </si>
  <si>
    <t>Dayton,New Jersey,USA, Hong Kong</t>
  </si>
  <si>
    <t>US $76.50/ea</t>
  </si>
  <si>
    <t>Apr 26, 2024 10:06:31 PDT</t>
  </si>
  <si>
    <t>US $55.16/ea</t>
  </si>
  <si>
    <t>Limited quantity available / 3,110 sold</t>
  </si>
  <si>
    <t>May 24, 2024 07:53:50 PDT</t>
  </si>
  <si>
    <t>Baron</t>
  </si>
  <si>
    <t>US $28.38/ea</t>
  </si>
  <si>
    <t>4 available / 1,433 sold</t>
  </si>
  <si>
    <t>May 16, 2024 20:45:13 PDT</t>
  </si>
  <si>
    <t>Parfum Intense</t>
  </si>
  <si>
    <t>US $11.95/ea</t>
  </si>
  <si>
    <t>More than 10 available / 18 sold</t>
  </si>
  <si>
    <t>May 08, 2024 03:13:17 PDT</t>
  </si>
  <si>
    <t>US $27.00</t>
  </si>
  <si>
    <t>6 available / 5 sold</t>
  </si>
  <si>
    <t>May 19, 2024 15:46:01 PDT</t>
  </si>
  <si>
    <t>McLean, Virginia, United States</t>
  </si>
  <si>
    <t>US $17.29/ea</t>
  </si>
  <si>
    <t>226 available / 1,370 sold</t>
  </si>
  <si>
    <t>May 24, 2024 07:21:08 PDT</t>
  </si>
  <si>
    <t>adidas</t>
  </si>
  <si>
    <t>US $11.58</t>
  </si>
  <si>
    <t>5 available / 1 sold</t>
  </si>
  <si>
    <t>Memphis, Tennessee, United States</t>
  </si>
  <si>
    <t>US $28.80/ea</t>
  </si>
  <si>
    <t>More than 10 available / 712 sold</t>
  </si>
  <si>
    <t>May 12, 2024 16:15:40 PDT</t>
  </si>
  <si>
    <t>US $74.25</t>
  </si>
  <si>
    <t>May 23, 2024 10:32:44 PDT</t>
  </si>
  <si>
    <t>US $90.45</t>
  </si>
  <si>
    <t>May 24, 2024 08:32:51 PDT</t>
  </si>
  <si>
    <t>Last One / 81 sold</t>
  </si>
  <si>
    <t>May 22, 2024 03:59:00 PDT</t>
  </si>
  <si>
    <t>Guerlain</t>
  </si>
  <si>
    <t>Apr 14, 2024 16:22:25 PDT</t>
  </si>
  <si>
    <t>US $24.14/ea</t>
  </si>
  <si>
    <t>More than 10 available / 9,265 sold</t>
  </si>
  <si>
    <t>May 24, 2024 08:16:12 PDT</t>
  </si>
  <si>
    <t>US $15.65/ea</t>
  </si>
  <si>
    <t>93 available / 2,777 sold</t>
  </si>
  <si>
    <t>May 21, 2024 10:00:07 PDT</t>
  </si>
  <si>
    <t>Branded</t>
  </si>
  <si>
    <t>13 available / 1 sold</t>
  </si>
  <si>
    <t>Multiple Location, United States</t>
  </si>
  <si>
    <t>US $79.89</t>
  </si>
  <si>
    <t>May 23, 2024 09:26:46 PDT</t>
  </si>
  <si>
    <t>US $13.95/ea</t>
  </si>
  <si>
    <t>7 available / 41 sold</t>
  </si>
  <si>
    <t>May 16, 2024 02:46:25 PDT</t>
  </si>
  <si>
    <t>US $94.43/ea</t>
  </si>
  <si>
    <t>More than 10 available / 98 sold</t>
  </si>
  <si>
    <t>May 23, 2024 15:19:07 PDT</t>
  </si>
  <si>
    <t>US $16.71/ea</t>
  </si>
  <si>
    <t>83 available / 7,816 sold</t>
  </si>
  <si>
    <t>May 24, 2024 09:42:05 PDT</t>
  </si>
  <si>
    <t>Jersey City, New Jersey, United States</t>
  </si>
  <si>
    <t>May 16, 2024 12:30:32 PDT</t>
  </si>
  <si>
    <t>US $119.99/ea</t>
  </si>
  <si>
    <t>6 available / 21 sold</t>
  </si>
  <si>
    <t>May 22, 2024 15:48:32 PDT</t>
  </si>
  <si>
    <t>Sanborn, New York, United States</t>
  </si>
  <si>
    <t>Acqua Di Gio</t>
  </si>
  <si>
    <t>9 available / 78 sold</t>
  </si>
  <si>
    <t>May 23, 2024 17:35:17 PDT</t>
  </si>
  <si>
    <t>US $75.99</t>
  </si>
  <si>
    <t>Apr 29, 2024 19:07:25 PDT</t>
  </si>
  <si>
    <t>7 available / 72 sold</t>
  </si>
  <si>
    <t>May 11, 2024 07:37:49 PDT</t>
  </si>
  <si>
    <t>Cabot, Arkansas, United States</t>
  </si>
  <si>
    <t>Reyane Tradition</t>
  </si>
  <si>
    <t>US $25.96/ea</t>
  </si>
  <si>
    <t>Limited quantity available / 214 sold</t>
  </si>
  <si>
    <t>May 06, 2024 21:18:47 PDT</t>
  </si>
  <si>
    <t>Last One / 12 sold</t>
  </si>
  <si>
    <t>May 21, 2024 16:52:49 PDT</t>
  </si>
  <si>
    <t>Old Spice</t>
  </si>
  <si>
    <t>2 available / 132 sold</t>
  </si>
  <si>
    <t>May 23, 2024 17:38:31 PDT</t>
  </si>
  <si>
    <t>33 available / 7 sold</t>
  </si>
  <si>
    <t>May 20, 2024 17:45:18 PDT</t>
  </si>
  <si>
    <t>US $75.00</t>
  </si>
  <si>
    <t>7 available / 1 sold</t>
  </si>
  <si>
    <t>May 21, 2024 09:06:31 PDT</t>
  </si>
  <si>
    <t>US $59.97</t>
  </si>
  <si>
    <t>Apr 12, 2024 14:07:41 PDT</t>
  </si>
  <si>
    <t>Dover, Delaware, United States</t>
  </si>
  <si>
    <t>More than 10 available / 6,188 sold</t>
  </si>
  <si>
    <t>May 23, 2024 21:24:43 PDT</t>
  </si>
  <si>
    <t>US $8.88</t>
  </si>
  <si>
    <t>Apr 12, 2024 08:49:37 PDT</t>
  </si>
  <si>
    <t>Debary, Florida, United States</t>
  </si>
  <si>
    <t>May 24, 2024 10:00:08 PDT</t>
  </si>
  <si>
    <t>US $13.68</t>
  </si>
  <si>
    <t>More than 10 available / 105 sold</t>
  </si>
  <si>
    <t>May 06, 2024 16:50:06 PDT</t>
  </si>
  <si>
    <t>Lauren Ralph Lauren</t>
  </si>
  <si>
    <t>US $45.70/ea</t>
  </si>
  <si>
    <t>102 available / 420 sold</t>
  </si>
  <si>
    <t>May 23, 2024 04:20:02 PDT</t>
  </si>
  <si>
    <t>US $77.15/ea</t>
  </si>
  <si>
    <t>8 available / 293 sold</t>
  </si>
  <si>
    <t>May 18, 2024 21:20:11 PDT</t>
  </si>
  <si>
    <t>US $24.98</t>
  </si>
  <si>
    <t>7 available / 8 sold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</si>
  <si>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</si>
  <si>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</si>
  <si>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</si>
  <si>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</si>
  <si>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</si>
  <si>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</si>
  <si>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</si>
  <si>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5 available / 157 sold</t>
  </si>
  <si>
    <t>May 17, 2024 20:51:19 PDT</t>
  </si>
  <si>
    <t>US $58.95/ea</t>
  </si>
  <si>
    <t>150 available / 545 sold</t>
  </si>
  <si>
    <t>May 24, 2024 10:27:08 PDT</t>
  </si>
  <si>
    <t>More than 10 available / 141 sold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</si>
  <si>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</si>
  <si>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</si>
  <si>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</si>
  <si>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</si>
  <si>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</si>
  <si>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</si>
  <si>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47 available / 85 sold</t>
  </si>
  <si>
    <t>May 13, 2024 13:58:55 PDT</t>
  </si>
  <si>
    <t>Clive Christian</t>
  </si>
  <si>
    <t>US $13.00</t>
  </si>
  <si>
    <t>May 15, 2024 22:29:13 PDT</t>
  </si>
  <si>
    <t>Fort Walton Beach, Florida, United States</t>
  </si>
  <si>
    <t>US $13.05</t>
  </si>
  <si>
    <t>May 15, 2024 19:24:33 PDT</t>
  </si>
  <si>
    <t>Jacksonville, Florida, United States</t>
  </si>
  <si>
    <t>US $74.92/ea</t>
  </si>
  <si>
    <t>6 available / 116 sold</t>
  </si>
  <si>
    <t>May 24, 2024 08:50:35 PDT</t>
  </si>
  <si>
    <t>US $35.62/ea</t>
  </si>
  <si>
    <t>47 available / 454 sold</t>
  </si>
  <si>
    <t>May 22, 2024 13:15:02 PDT</t>
  </si>
  <si>
    <t>9 available / 132 sold</t>
  </si>
  <si>
    <t>May 24, 2024 04:20:12 PDT</t>
  </si>
  <si>
    <t>8 available / 376 sold</t>
  </si>
  <si>
    <t>May 24, 2024 00:02:15 PDT</t>
  </si>
  <si>
    <t>May 23, 2024 19:11:36 PDT</t>
  </si>
  <si>
    <t>North York, Ontario, Canada</t>
  </si>
  <si>
    <t>US $41.95</t>
  </si>
  <si>
    <t>May 20, 2024 09:41:59 PDT</t>
  </si>
  <si>
    <t>More than 10 available / 112 sold</t>
  </si>
  <si>
    <t>May 23, 2024 08:39:28 PDT</t>
  </si>
  <si>
    <t>United States</t>
  </si>
  <si>
    <t>US $54.26/ea</t>
  </si>
  <si>
    <t>Limited quantity available / 2,550 sold</t>
  </si>
  <si>
    <t>May 22, 2024 06:00:09 PDT</t>
  </si>
  <si>
    <t>May 18, 2024 08:01:01 PDT</t>
  </si>
  <si>
    <t>US $50.99/ea</t>
  </si>
  <si>
    <t>6 available / 15 sold</t>
  </si>
  <si>
    <t>May 23, 2024 11:00:52 PDT</t>
  </si>
  <si>
    <t>US $46.15/ea</t>
  </si>
  <si>
    <t>36 available / 494 sold</t>
  </si>
  <si>
    <t>May 23, 2024 08:46:32 PDT</t>
  </si>
  <si>
    <t>Eau de Parfum Intense</t>
  </si>
  <si>
    <t>US $77.99</t>
  </si>
  <si>
    <t>33 available / 9 sold</t>
  </si>
  <si>
    <t>Apr 21, 2024 23:06:38 PDT</t>
  </si>
  <si>
    <t>US $110.08</t>
  </si>
  <si>
    <t>Limited quantity available / 684 sold</t>
  </si>
  <si>
    <t>May 23, 2024 04:38:15 PDT</t>
  </si>
  <si>
    <t>US $18.79</t>
  </si>
  <si>
    <t>2 available / 9 sold</t>
  </si>
  <si>
    <t>May 23, 2024 21:56:59 PDT</t>
  </si>
  <si>
    <t>May 16, 2024 12:44:08 PDT</t>
  </si>
  <si>
    <t>US $110.00</t>
  </si>
  <si>
    <t>May 21, 2024 06:39:59 PDT</t>
  </si>
  <si>
    <t>Brownsboro, Texas, United States</t>
  </si>
  <si>
    <t>GIORGIO ARM.ANI</t>
  </si>
  <si>
    <t>9 available / 1 sold</t>
  </si>
  <si>
    <t>Victor &amp; Rolf</t>
  </si>
  <si>
    <t>US $74.59/ea</t>
  </si>
  <si>
    <t>More than 10 available / 1 sold</t>
  </si>
  <si>
    <t>May 24, 2024 10:22:34 PDT</t>
  </si>
  <si>
    <t>Polo</t>
  </si>
  <si>
    <t>US $41.79/ea</t>
  </si>
  <si>
    <t>2 available / 174 sold</t>
  </si>
  <si>
    <t>May 19, 2024 12:04:26 PDT</t>
  </si>
  <si>
    <t>Jamaica, New York, United States</t>
  </si>
  <si>
    <t>Roberto Cavalli</t>
  </si>
  <si>
    <t>US $42.95/ea</t>
  </si>
  <si>
    <t>May 04, 2024 05:03:56 PDT</t>
  </si>
  <si>
    <t>Keyport, New Jersey, United States</t>
  </si>
  <si>
    <t>13 available / 65 sold</t>
  </si>
  <si>
    <t>May 24, 2024 06:39:48 PDT</t>
  </si>
  <si>
    <t>US $93.91</t>
  </si>
  <si>
    <t>May 22, 2024 23:00:15 PDT</t>
  </si>
  <si>
    <t>US $21.00/ea</t>
  </si>
  <si>
    <t>4 available / 785 sold</t>
  </si>
  <si>
    <t>Emanuelle Ungaro</t>
  </si>
  <si>
    <t>US $31.89/ea</t>
  </si>
  <si>
    <t>15 available / 226 sold</t>
  </si>
  <si>
    <t>May 16, 2024 05:09:58 PDT</t>
  </si>
  <si>
    <t>4 available / 2 sold</t>
  </si>
  <si>
    <t>May 22, 2024 22:37:03 PDT</t>
  </si>
  <si>
    <t>US $58.09/ea</t>
  </si>
  <si>
    <t>Limited quantity available / 550 sold</t>
  </si>
  <si>
    <t>May 21, 2024 14:43:09 PDT</t>
  </si>
  <si>
    <t>US $25.23/ea</t>
  </si>
  <si>
    <t>Limited quantity available / 40,130 sold</t>
  </si>
  <si>
    <t>May 24, 2024 05:18:15 PDT</t>
  </si>
  <si>
    <t>US $43.00</t>
  </si>
  <si>
    <t>5 available / 32 sold</t>
  </si>
  <si>
    <t>May 20, 2024 10:33:43 PDT</t>
  </si>
  <si>
    <t>CURVE</t>
  </si>
  <si>
    <t>US $16.82/ea</t>
  </si>
  <si>
    <t>4 available / 1,992 sold</t>
  </si>
  <si>
    <t>May 21, 2024 22:28:49 PDT</t>
  </si>
  <si>
    <t>US $188.99</t>
  </si>
  <si>
    <t>May 05, 2024 19:10:00 PDT</t>
  </si>
  <si>
    <t>Ottawa, Canada</t>
  </si>
  <si>
    <t>Texas, Hong Kong</t>
  </si>
  <si>
    <t>3 available / 23 sold</t>
  </si>
  <si>
    <t>May 23, 2024 21:08:23 PDT</t>
  </si>
  <si>
    <t>More than 10 available / 368 sold</t>
  </si>
  <si>
    <t>May 24, 2024 05:30:37 PDT</t>
  </si>
  <si>
    <t>US $16.99/ea</t>
  </si>
  <si>
    <t>Apr 08, 2024 05:02:35 PDT</t>
  </si>
  <si>
    <t>US $70.08/ea</t>
  </si>
  <si>
    <t>Limited quantity available / 1,165 sold</t>
  </si>
  <si>
    <t>May 23, 2024 16:28:06 PDT</t>
  </si>
  <si>
    <t>More than 10 available / 49 sold</t>
  </si>
  <si>
    <t>May 11, 2024 04:30:04 PDT</t>
  </si>
  <si>
    <t>US $46.75</t>
  </si>
  <si>
    <t>7 available / 3 sold</t>
  </si>
  <si>
    <t>Green Bay, Wisconsin, United States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</si>
  <si>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</si>
  <si>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</si>
  <si>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</si>
  <si>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</si>
  <si>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</si>
  <si>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</si>
  <si>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</si>
  <si>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</si>
  <si>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</si>
  <si>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</si>
  <si>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Estée Lauder</t>
  </si>
  <si>
    <t>May 03, 2024 17:56:21 PDT</t>
  </si>
  <si>
    <t>May 16, 2024 21:53:55 PDT</t>
  </si>
  <si>
    <t>US $113.98/ea</t>
  </si>
  <si>
    <t>10 available / 755 sold</t>
  </si>
  <si>
    <t>May 22, 2024 04:59:36 PDT</t>
  </si>
  <si>
    <t>US $67.50</t>
  </si>
  <si>
    <t>4 available / 3 sold</t>
  </si>
  <si>
    <t>May 23, 2024 09:09:05 PDT</t>
  </si>
  <si>
    <t>Matawan, New Jersey, United States</t>
  </si>
  <si>
    <t>Pierre Cardin</t>
  </si>
  <si>
    <t>US $7.28/ea</t>
  </si>
  <si>
    <t>More than 10 available / 149 sold</t>
  </si>
  <si>
    <t>May 21, 2024 19:51:46 PDT</t>
  </si>
  <si>
    <t>RawChemistry</t>
  </si>
  <si>
    <t>cologne</t>
  </si>
  <si>
    <t>US $30.95</t>
  </si>
  <si>
    <t>13 available / 4 sold</t>
  </si>
  <si>
    <t>May 19, 2024 06:43:30 PDT</t>
  </si>
  <si>
    <t>Maiden, North Carolina, United States</t>
  </si>
  <si>
    <t>US $89.99/ea</t>
  </si>
  <si>
    <t>May 12, 2024 20:22:40 PDT</t>
  </si>
  <si>
    <t>Towson, Maryland, United States</t>
  </si>
  <si>
    <t>US $68.89</t>
  </si>
  <si>
    <t>4 available / 25 sold</t>
  </si>
  <si>
    <t>May 24, 2024 09:37:13 PDT</t>
  </si>
  <si>
    <t>Sterling</t>
  </si>
  <si>
    <t>US $38.98/ea</t>
  </si>
  <si>
    <t>May 24, 2024 10:21:12 PDT</t>
  </si>
  <si>
    <t>US $46.00/ea</t>
  </si>
  <si>
    <t>59 available / 1,207 sold</t>
  </si>
  <si>
    <t>May 22, 2024 11:37:30 PDT</t>
  </si>
  <si>
    <t>US $32.99/ea</t>
  </si>
  <si>
    <t>May 24, 2024 06:48:06 PDT</t>
  </si>
  <si>
    <t>US $181.04</t>
  </si>
  <si>
    <t>5 available / 30 sold</t>
  </si>
  <si>
    <t>May 20, 2024 13:09:12 PDT</t>
  </si>
  <si>
    <t>United states, United States</t>
  </si>
  <si>
    <t>US $38.41/ea</t>
  </si>
  <si>
    <t>More than 10 available / 147 sold</t>
  </si>
  <si>
    <t>May 24, 2024 10:21:08 PDT</t>
  </si>
  <si>
    <t>Last One / 150 sold</t>
  </si>
  <si>
    <t>May 24, 2024 07:15:03 PDT</t>
  </si>
  <si>
    <t>Territoire</t>
  </si>
  <si>
    <t>US $16.49/ea</t>
  </si>
  <si>
    <t>More than 10 available / 77 sold</t>
  </si>
  <si>
    <t>May 23, 2024 11:24:47 PDT</t>
  </si>
  <si>
    <t>Jimmy Choo</t>
  </si>
  <si>
    <t>May 22, 2024 12:57:17 PDT</t>
  </si>
  <si>
    <t>EAU DE COLOGNE SPRAY</t>
  </si>
  <si>
    <t>US $26.75/ea</t>
  </si>
  <si>
    <t>7 available / 5 sold</t>
  </si>
  <si>
    <t>US $29.13</t>
  </si>
  <si>
    <t>3 available / 13 sold</t>
  </si>
  <si>
    <t>May 22, 2024 07:32:43 PDT</t>
  </si>
  <si>
    <t>US $74.85</t>
  </si>
  <si>
    <t>Monterey Park, California, United States</t>
  </si>
  <si>
    <t>US $28.95/ea</t>
  </si>
  <si>
    <t>More than 10 available / 1,306 sold</t>
  </si>
  <si>
    <t>May 17, 2024 11:38:12 PDT</t>
  </si>
  <si>
    <t>Lapidus</t>
  </si>
  <si>
    <t>More than 10 available / 24 sold</t>
  </si>
  <si>
    <t>May 22, 2024 05:18:16 PDT</t>
  </si>
  <si>
    <t>Mary Kay</t>
  </si>
  <si>
    <t>US $30.00</t>
  </si>
  <si>
    <t>May 08, 2024 08:37:11 PDT</t>
  </si>
  <si>
    <t>Douglasville, Georgia, United States</t>
  </si>
  <si>
    <t>US $18.91/ea</t>
  </si>
  <si>
    <t>More than 10 available / 5,500 sold</t>
  </si>
  <si>
    <t>May 23, 2024 21:35:04 PDT</t>
  </si>
  <si>
    <t>L’OCCITANE</t>
  </si>
  <si>
    <t>US $59.00</t>
  </si>
  <si>
    <t>May 19, 2024 09:48:36 PDT</t>
  </si>
  <si>
    <t>US $192.00/ea</t>
  </si>
  <si>
    <t>7 available / 37 sold</t>
  </si>
  <si>
    <t>May 23, 2024 08:07:43 PDT</t>
  </si>
  <si>
    <t>Jerusalem, Israel</t>
  </si>
  <si>
    <t>May 21, 2024 20:38:20 PDT</t>
  </si>
  <si>
    <t>Have A Scent</t>
  </si>
  <si>
    <t>Roll On</t>
  </si>
  <si>
    <t>More than 10 available / 94 sold</t>
  </si>
  <si>
    <t>Apr 30, 2024 11:41:49 PDT</t>
  </si>
  <si>
    <t>6 available / 91 sold</t>
  </si>
  <si>
    <t>May 11, 2024 09:37:04 PDT</t>
  </si>
  <si>
    <t>US $40.59/ea</t>
  </si>
  <si>
    <t>53 available / 2,934 sold</t>
  </si>
  <si>
    <t>May 21, 2024 22:51:32 PDT</t>
  </si>
  <si>
    <t>US $89.97</t>
  </si>
  <si>
    <t>Lakewood, California, United States</t>
  </si>
  <si>
    <t>9 available / 19 sold</t>
  </si>
  <si>
    <t>May 22, 2024 05:40:17 PDT</t>
  </si>
  <si>
    <t>US $6.96</t>
  </si>
  <si>
    <t>More than 10 available / 102 sold</t>
  </si>
  <si>
    <t>May 18, 2024 16:15:46 PDT</t>
  </si>
  <si>
    <t>US $37.98</t>
  </si>
  <si>
    <t>More than 10 available / 612 sold</t>
  </si>
  <si>
    <t>May 21, 2024 18:20:33 PDT</t>
  </si>
  <si>
    <t>US $18.95/ea</t>
  </si>
  <si>
    <t>More than 10 available / 624 sold</t>
  </si>
  <si>
    <t>May 15, 2024 17:19:08 PDT</t>
  </si>
  <si>
    <t>May 19, 2024 22:56:04 PDT</t>
  </si>
  <si>
    <t>Elk, Poland</t>
  </si>
  <si>
    <t>May 21, 2024 07:36:26 PDT</t>
  </si>
  <si>
    <t>US $86.99</t>
  </si>
  <si>
    <t>12 available / 28 sold</t>
  </si>
  <si>
    <t>May 22, 2024 20:18:57 PDT</t>
  </si>
  <si>
    <t>May 23, 2024 20:44:22 PDT</t>
  </si>
  <si>
    <t>US $13.28/ea</t>
  </si>
  <si>
    <t>WA, United States</t>
  </si>
  <si>
    <t>US $35.00/ea</t>
  </si>
  <si>
    <t>Gonzales, Louisiana, United States</t>
  </si>
  <si>
    <t>More than 10 available / 84 sold</t>
  </si>
  <si>
    <t>May 24, 2024 00:13:42 PDT</t>
  </si>
  <si>
    <t>Hong Kong, China</t>
  </si>
  <si>
    <t>8 available / 19 sold</t>
  </si>
  <si>
    <t>May 24, 2024 07:43:15 PDT</t>
  </si>
  <si>
    <t>US $13.15</t>
  </si>
  <si>
    <t>May 22, 2024 18:38:34 PDT</t>
  </si>
  <si>
    <t>10 available / 118 sold</t>
  </si>
  <si>
    <t>May 19, 2024 22:33:32 PDT</t>
  </si>
  <si>
    <t>US $11.50</t>
  </si>
  <si>
    <t>2 available / 12 sold</t>
  </si>
  <si>
    <t>May 23, 2024 18:36:28 PDT</t>
  </si>
  <si>
    <t>Montclair, California, United States</t>
  </si>
  <si>
    <t>May 08, 2024 15:45:56 PDT</t>
  </si>
  <si>
    <t>Fragrance Couture</t>
  </si>
  <si>
    <t>US $14.98</t>
  </si>
  <si>
    <t>Last One / 206 sold</t>
  </si>
  <si>
    <t>Apr 12, 2024 15:57:06 PDT</t>
  </si>
  <si>
    <t>3 available / 17 sold</t>
  </si>
  <si>
    <t>May 18, 2024 21:26:21 PDT</t>
  </si>
  <si>
    <t>2 available / 39 sold</t>
  </si>
  <si>
    <t>May 22, 2024 11:20:42 PDT</t>
  </si>
  <si>
    <t>US $104.99/ea</t>
  </si>
  <si>
    <t>5 available / 38 sold</t>
  </si>
  <si>
    <t>May 22, 2024 16:48:50 PDT</t>
  </si>
  <si>
    <t>US $75.95/ea</t>
  </si>
  <si>
    <t>10 available / 3 sold</t>
  </si>
  <si>
    <t>May 24, 2024 09:26:23 PDT</t>
  </si>
  <si>
    <t>US $19.41/ea</t>
  </si>
  <si>
    <t>86 available / 501 sold</t>
  </si>
  <si>
    <t>May 24, 2024 10:13:10 PDT</t>
  </si>
  <si>
    <t>Mancera</t>
  </si>
  <si>
    <t>Apr 01, 2024 21:47:48 PDT</t>
  </si>
  <si>
    <t>6 available / 141 sold</t>
  </si>
  <si>
    <t>May 24, 2024 08:25:48 PDT</t>
  </si>
  <si>
    <t>Inkster, Michigan, United States</t>
  </si>
  <si>
    <t>2 available / 41 sold</t>
  </si>
  <si>
    <t>May 23, 2024 04:45:58 PDT</t>
  </si>
  <si>
    <t>Huntsville, Alabama, United States</t>
  </si>
  <si>
    <t>US $46.99/ea</t>
  </si>
  <si>
    <t>May 21, 2024 22:16:00 PDT</t>
  </si>
  <si>
    <t>More than 10 available / 418 sold</t>
  </si>
  <si>
    <t>May 24, 2024 09:36:53 PDT</t>
  </si>
  <si>
    <t>2 available / 129 sold</t>
  </si>
  <si>
    <t>May 19, 2024 15:03:20 PDT</t>
  </si>
  <si>
    <t>US $9.89/ea</t>
  </si>
  <si>
    <t>Elixir de Parfum</t>
  </si>
  <si>
    <t>More than 10 lots available (3 items per lot) / 196 sold</t>
  </si>
  <si>
    <t>May 19, 2024 16:43:20 PDT</t>
  </si>
  <si>
    <t>Valley Stream, New York, United States</t>
  </si>
  <si>
    <t>Hugo Boss</t>
  </si>
  <si>
    <t>US $65.37/ea</t>
  </si>
  <si>
    <t>16 available / 87 sold</t>
  </si>
  <si>
    <t>May 02, 2024 01:30:37 PDT</t>
  </si>
  <si>
    <t>May 22, 2024 17:57:33 PDT</t>
  </si>
  <si>
    <t>LLURE SX</t>
  </si>
  <si>
    <t>US $38.95/ea</t>
  </si>
  <si>
    <t>3 available / 114 sold</t>
  </si>
  <si>
    <t>May 15, 2024 11:26:06 PDT</t>
  </si>
  <si>
    <t>Long Beach, California, United States</t>
  </si>
  <si>
    <t>Jacques Bogart</t>
  </si>
  <si>
    <t>US $13.97/ea</t>
  </si>
  <si>
    <t>31 available / 957 sold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</si>
  <si>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</si>
  <si>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</si>
  <si>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</si>
  <si>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</si>
  <si>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</si>
  <si>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</si>
  <si>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US $44.95/ea</t>
  </si>
  <si>
    <t>6 available / 75 sold</t>
  </si>
  <si>
    <t>May 23, 2024 15:48:20 PDT</t>
  </si>
  <si>
    <t>5 available / 47 sold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</si>
  <si>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</si>
  <si>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</si>
  <si>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</si>
  <si>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</si>
  <si>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</si>
  <si>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</si>
  <si>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</si>
  <si>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US $7.50</t>
  </si>
  <si>
    <t>More than 10 available / 115 sold</t>
  </si>
  <si>
    <t>Apr 05, 2024 00:53:07 PDT</t>
  </si>
  <si>
    <t>May 06, 2024 12:23:40 PDT</t>
  </si>
  <si>
    <t>6 available / 16 sold</t>
  </si>
  <si>
    <t>May 21, 2024 09:39:57 PDT</t>
  </si>
  <si>
    <t>California,United States, Hong Kong</t>
  </si>
  <si>
    <t>US $59.43/ea</t>
  </si>
  <si>
    <t>7 available / 3,691 sold</t>
  </si>
  <si>
    <t>May 24, 2024 09:27:04 PDT</t>
  </si>
  <si>
    <t>US $14.95/ea</t>
  </si>
  <si>
    <t>8 available / 79 sold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</si>
  <si>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</si>
  <si>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</si>
  <si>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</si>
  <si>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</si>
  <si>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</si>
  <si>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</si>
  <si>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FC</t>
  </si>
  <si>
    <t>US $14.70/ea</t>
  </si>
  <si>
    <t>More than 10 available / 119 sold</t>
  </si>
  <si>
    <t>Apr 09, 2024 05:59:11 PDT</t>
  </si>
  <si>
    <t>May 16, 2024 02:06:00 PDT</t>
  </si>
  <si>
    <t>United States,California, Taiwan</t>
  </si>
  <si>
    <t>Pheromones</t>
  </si>
  <si>
    <t>US $32.95</t>
  </si>
  <si>
    <t>More than 10 available / 217 sold</t>
  </si>
  <si>
    <t>May 22, 2024 09:46:38 PDT</t>
  </si>
  <si>
    <t>Rockledge, Florida, United States</t>
  </si>
  <si>
    <t>May 01, 2024 11:40:14 PDT</t>
  </si>
  <si>
    <t>Cartier</t>
  </si>
  <si>
    <t>US $59.63/ea</t>
  </si>
  <si>
    <t>24 available / 48 sold</t>
  </si>
  <si>
    <t>May 24, 2024 08:20:12 PDT</t>
  </si>
  <si>
    <t>US $44.93/ea</t>
  </si>
  <si>
    <t>26 available / 2,098 sold</t>
  </si>
  <si>
    <t>May 21, 2024 22:39:15 PDT</t>
  </si>
  <si>
    <t>US $30.31</t>
  </si>
  <si>
    <t>May 23, 2024 08:39:31 PDT</t>
  </si>
  <si>
    <t>More than 10 available / 381 sold</t>
  </si>
  <si>
    <t>Apr 12, 2024 11:01:52 PDT</t>
  </si>
  <si>
    <t>Elixir</t>
  </si>
  <si>
    <t>US $88.99</t>
  </si>
  <si>
    <t>May 24, 2024 04:19:41 PDT</t>
  </si>
  <si>
    <t>Belleville, Michigan, United States</t>
  </si>
  <si>
    <t>Various</t>
  </si>
  <si>
    <t>US $20.00</t>
  </si>
  <si>
    <t>7 available / 2 sold</t>
  </si>
  <si>
    <t>May 22, 2024 10:00:19 PDT</t>
  </si>
  <si>
    <t>Flemington, New Jersey, United States</t>
  </si>
  <si>
    <t>Assorted</t>
  </si>
  <si>
    <t>US $17.95</t>
  </si>
  <si>
    <t>Last One / 4 sold</t>
  </si>
  <si>
    <t>May 09, 2024 17:17:45 PDT</t>
  </si>
  <si>
    <t>Orange City, Florida, United States</t>
  </si>
  <si>
    <t>7 available / 40 sold</t>
  </si>
  <si>
    <t>May 19, 2024 10:33:07 PDT</t>
  </si>
  <si>
    <t>HINODE</t>
  </si>
  <si>
    <t>US $99.00</t>
  </si>
  <si>
    <t>8 available / 177 sold</t>
  </si>
  <si>
    <t>Mar 20, 2024 18:01:39 PDT</t>
  </si>
  <si>
    <t>REGENTE FEIJO, Brazil</t>
  </si>
  <si>
    <t>May 22, 2024 14:08:35 PDT</t>
  </si>
  <si>
    <t>May 05, 2024 23:17:39 PDT</t>
  </si>
  <si>
    <t>US $41.95/ea</t>
  </si>
  <si>
    <t>May 19, 2024 19:20:33 PDT</t>
  </si>
  <si>
    <t>10 available / 20 sold</t>
  </si>
  <si>
    <t>May 22, 2024 14:03:03 PDT</t>
  </si>
  <si>
    <t>US $55.15</t>
  </si>
  <si>
    <t>5 available / 64 sold</t>
  </si>
  <si>
    <t>May 24, 2024 08:47:04 PDT</t>
  </si>
  <si>
    <t>US $74.48/ea</t>
  </si>
  <si>
    <t>10 available / 5 sold</t>
  </si>
  <si>
    <t>May 24, 2024 03:20:58 PDT</t>
  </si>
  <si>
    <t>US $33.49</t>
  </si>
  <si>
    <t>May 20, 2024 10:40:38 PDT</t>
  </si>
  <si>
    <t>US $17.89</t>
  </si>
  <si>
    <t>5 available / 68 sold</t>
  </si>
  <si>
    <t>May 22, 2024 02:15:28 PDT</t>
  </si>
  <si>
    <t>US $58.46</t>
  </si>
  <si>
    <t>Last One / 5,227 sold</t>
  </si>
  <si>
    <t>May 23, 2024 07:51:26 PDT</t>
  </si>
  <si>
    <t>US $91.98</t>
  </si>
  <si>
    <t>May 23, 2024 14:18:39 PDT</t>
  </si>
  <si>
    <t>Madera, California, United States</t>
  </si>
  <si>
    <t>May 23, 2024 18:43:56 PDT</t>
  </si>
  <si>
    <t>West Harrison, Indiana, United States</t>
  </si>
  <si>
    <t>US $69.95</t>
  </si>
  <si>
    <t>5 available / 120 sold</t>
  </si>
  <si>
    <t>May 13, 2024 17:50:50 PDT</t>
  </si>
  <si>
    <t>US $135.00</t>
  </si>
  <si>
    <t>3 available / 214 sold</t>
  </si>
  <si>
    <t>May 24, 2024 01:25:38 PDT</t>
  </si>
  <si>
    <t>Grafton, Wisconsin, United States</t>
  </si>
  <si>
    <t>Michael Jordan</t>
  </si>
  <si>
    <t>US $21.79</t>
  </si>
  <si>
    <t>More than 10 available / 488 sold</t>
  </si>
  <si>
    <t>May 24, 2024 10:03:02 PDT</t>
  </si>
  <si>
    <t>ysl</t>
  </si>
  <si>
    <t>US $38.00</t>
  </si>
  <si>
    <t>More than 10 available / 42 sold</t>
  </si>
  <si>
    <t>May 08, 2024 03:42:07 PDT</t>
  </si>
  <si>
    <t>Wakefield, Massachusetts, Hong Kong</t>
  </si>
  <si>
    <t>5 available / 31 sold</t>
  </si>
  <si>
    <t>May 18, 2024 08:45:33 PDT</t>
  </si>
  <si>
    <t>US $53.45/ea</t>
  </si>
  <si>
    <t>Limited quantity available / 3,787 sold</t>
  </si>
  <si>
    <t>May 23, 2024 20:23:26 PDT</t>
  </si>
  <si>
    <t>US $82.99/ea</t>
  </si>
  <si>
    <t>May 22, 2024 01:08:01 PDT</t>
  </si>
  <si>
    <t>2 available / 11 sold</t>
  </si>
  <si>
    <t>May 23, 2024 23:59:20 PDT</t>
  </si>
  <si>
    <t>US $22.15/ea</t>
  </si>
  <si>
    <t>28 available / 196 sold</t>
  </si>
  <si>
    <t>May 23, 2024 06:45:23 PDT</t>
  </si>
  <si>
    <t>US $26.55</t>
  </si>
  <si>
    <t>7 available / 15 sold</t>
  </si>
  <si>
    <t>May 21, 2024 08:45:23 PDT</t>
  </si>
  <si>
    <t>Hamlet, North Carolina, United States</t>
  </si>
  <si>
    <t>Designer Series</t>
  </si>
  <si>
    <t>US $12.60</t>
  </si>
  <si>
    <t>More than 10 available / 229 sold</t>
  </si>
  <si>
    <t>May 23, 2024 19:13:34 PDT</t>
  </si>
  <si>
    <t>May 16, 2024 12:30:59 PDT</t>
  </si>
  <si>
    <t>US $135.49/ea</t>
  </si>
  <si>
    <t>More than 10 available / 64 sold</t>
  </si>
  <si>
    <t>8 available / 60 sold</t>
  </si>
  <si>
    <t>May 23, 2024 02:38:43 PDT</t>
  </si>
  <si>
    <t>New Jersey, Hong Kong</t>
  </si>
  <si>
    <t>US $54.50</t>
  </si>
  <si>
    <t>2 available / 1,995 sold</t>
  </si>
  <si>
    <t>May 21, 2024 17:08:14 PDT</t>
  </si>
  <si>
    <t>Alexandria Fragrances</t>
  </si>
  <si>
    <t>US $3.00</t>
  </si>
  <si>
    <t>39 available / 4 sold</t>
  </si>
  <si>
    <t>May 23, 2024 18:11:56 PDT</t>
  </si>
  <si>
    <t>Wynnewood, Pennsylvania, United States</t>
  </si>
  <si>
    <t>19 available / 120 sold</t>
  </si>
  <si>
    <t>May 20, 2024 21:16:42 PDT</t>
  </si>
  <si>
    <t>9 available / 28 sold</t>
  </si>
  <si>
    <t>Apr 23, 2024 04:55:18 PDT</t>
  </si>
  <si>
    <t>US $12.00</t>
  </si>
  <si>
    <t>May 23, 2024 10:37:59 PDT</t>
  </si>
  <si>
    <t>Maison Martin Margiela</t>
  </si>
  <si>
    <t>Last One / 11 sold</t>
  </si>
  <si>
    <t>Apr 30, 2024 20:11:27 PDT</t>
  </si>
  <si>
    <t>Monroe Township, New Jersey, Hong Kong</t>
  </si>
  <si>
    <t>More than 10 available / 15 sold</t>
  </si>
  <si>
    <t>May 08, 2024 09:23:26 PDT</t>
  </si>
  <si>
    <t>US $76.99/ea</t>
  </si>
  <si>
    <t>10 available / 33 sold</t>
  </si>
  <si>
    <t>May 22, 2024 07:49:14 PDT</t>
  </si>
  <si>
    <t>El Ganso</t>
  </si>
  <si>
    <t>US $56.00</t>
  </si>
  <si>
    <t>May 14, 2024 03:39:09 PDT</t>
  </si>
  <si>
    <t>US $45.90</t>
  </si>
  <si>
    <t>More than 10 available / 74 sold</t>
  </si>
  <si>
    <t>May 23, 2024 03:08:19 PDT</t>
  </si>
  <si>
    <t>VICTOR MANUELLE</t>
  </si>
  <si>
    <t>3 available / 153 sold</t>
  </si>
  <si>
    <t>May 13, 2024 19:05:56 PDT</t>
  </si>
  <si>
    <t>English Laundry</t>
  </si>
  <si>
    <t>US $36.67/ea</t>
  </si>
  <si>
    <t>More than 10 available / 169 sold</t>
  </si>
  <si>
    <t>May 24, 2024 07:58:46 PDT</t>
  </si>
  <si>
    <t>Luxury</t>
  </si>
  <si>
    <t>US $10.67/ea</t>
  </si>
  <si>
    <t>57 available / 272 sold</t>
  </si>
  <si>
    <t>May 24, 2024 01:20:13 PDT</t>
  </si>
  <si>
    <t>May 23, 2024 13:17:51 PDT</t>
  </si>
  <si>
    <t>US $31.29</t>
  </si>
  <si>
    <t>May 20, 2024 16:10:31 PDT</t>
  </si>
  <si>
    <t>US $29.97</t>
  </si>
  <si>
    <t>4 available</t>
  </si>
  <si>
    <t>Jil Sander</t>
  </si>
  <si>
    <t>US $27.84/ea</t>
  </si>
  <si>
    <t>Limited quantity available / 85 sold</t>
  </si>
  <si>
    <t>Apr 30, 2024 06:45:20 PDT</t>
  </si>
  <si>
    <t>US $99.99/ea</t>
  </si>
  <si>
    <t>6 available / 17 sold</t>
  </si>
  <si>
    <t>May 22, 2024 13:20:36 PDT</t>
  </si>
  <si>
    <t>US $99.49</t>
  </si>
  <si>
    <t>May 24, 2024 00:20:22 PDT</t>
  </si>
  <si>
    <t>US $23.95</t>
  </si>
  <si>
    <t>Last One / 78 sold</t>
  </si>
  <si>
    <t>May 22, 2024 03:57:35 PDT</t>
  </si>
  <si>
    <t>Fragrance Oil</t>
  </si>
  <si>
    <t>10 available</t>
  </si>
  <si>
    <t>St. George, Utah, United States</t>
  </si>
  <si>
    <t>3 available / 58 sold</t>
  </si>
  <si>
    <t>May 04, 2024 06:13:01 PDT</t>
  </si>
  <si>
    <t>East Meadow, New York, United States</t>
  </si>
  <si>
    <t>US $26.86/ea</t>
  </si>
  <si>
    <t>37 available / 1,047 sold</t>
  </si>
  <si>
    <t>May 21, 2024 09:56:08 PDT</t>
  </si>
  <si>
    <t>US $74.99/ea</t>
  </si>
  <si>
    <t>10 available / 23 sold</t>
  </si>
  <si>
    <t>May 23, 2024 17:37:22 PDT</t>
  </si>
  <si>
    <t>US $31.57</t>
  </si>
  <si>
    <t>More than 10 available / 287 sold</t>
  </si>
  <si>
    <t>May 24, 2024 07:35:03 PDT</t>
  </si>
  <si>
    <t>3 available / 45 sold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</si>
  <si>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</si>
  <si>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</si>
  <si>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</si>
  <si>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</si>
  <si>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</si>
  <si>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US $29.03</t>
  </si>
  <si>
    <t>May 23, 2024 01:07:01 PDT</t>
  </si>
  <si>
    <t>US $39.95/ea</t>
  </si>
  <si>
    <t>May 01, 2024 09:56:57 PDT</t>
  </si>
  <si>
    <t>Huntington Station, New York, United States</t>
  </si>
  <si>
    <t>8 available / 71 sold</t>
  </si>
  <si>
    <t>May 22, 2024 11:25:01 PDT</t>
  </si>
  <si>
    <t>US $18.11</t>
  </si>
  <si>
    <t>May 21, 2024 03:34:53 PDT</t>
  </si>
  <si>
    <t>2 available / 13 sold</t>
  </si>
  <si>
    <t>May 22, 2024 11:35:59 PDT</t>
  </si>
  <si>
    <t>US $52.94</t>
  </si>
  <si>
    <t>Limited quantity available / 100 sold</t>
  </si>
  <si>
    <t>May 22, 2024 08:40:06 PDT</t>
  </si>
  <si>
    <t>MAISON ALHAMBRA</t>
  </si>
  <si>
    <t>3 available / 42 sold</t>
  </si>
  <si>
    <t>May 24, 2024 07:55:47 PDT</t>
  </si>
  <si>
    <t>More than 10 available / 507 sold</t>
  </si>
  <si>
    <t>May 22, 2024 19:48:31 PDT</t>
  </si>
  <si>
    <t>May 18, 2024 09:30:42 PDT</t>
  </si>
  <si>
    <t>Saint Clair Shores, Michigan, United States</t>
  </si>
  <si>
    <t>US $37.95/ea</t>
  </si>
  <si>
    <t>9 available / 20 sold</t>
  </si>
  <si>
    <t>May 20, 2024 05:50:34 PDT</t>
  </si>
  <si>
    <t>May 22, 2024 08:47:26 PDT</t>
  </si>
  <si>
    <t>US $20.37/ea</t>
  </si>
  <si>
    <t>More than 10 available / 4,569 sold</t>
  </si>
  <si>
    <t>May 20, 2024 01:23:56 PDT</t>
  </si>
  <si>
    <t>US $45.99/ea</t>
  </si>
  <si>
    <t>More than 10 available / 2,452 sold</t>
  </si>
  <si>
    <t>May 24, 2024 09:17:35 PDT</t>
  </si>
  <si>
    <t>US $68.55/ea</t>
  </si>
  <si>
    <t>10 available / 65 sold</t>
  </si>
  <si>
    <t>May 08, 2024 08:02:39 PDT</t>
  </si>
  <si>
    <t>Middle Grove, New York, United States</t>
  </si>
  <si>
    <t>5 available / 23 sold</t>
  </si>
  <si>
    <t>May 13, 2024 11:37:20 PDT</t>
  </si>
  <si>
    <t>Hybrid &amp; Company</t>
  </si>
  <si>
    <t>US $24.19</t>
  </si>
  <si>
    <t>15 available / 73 sold</t>
  </si>
  <si>
    <t>May 09, 2024 08:15:16 PDT</t>
  </si>
  <si>
    <t>Temple, Texas, United States</t>
  </si>
  <si>
    <t>Perry Ellis</t>
  </si>
  <si>
    <t>US $23.01</t>
  </si>
  <si>
    <t>5 available / 2,611 sold</t>
  </si>
  <si>
    <t>May 24, 2024 09:56:02 PDT</t>
  </si>
  <si>
    <t>US $136.00</t>
  </si>
  <si>
    <t>5 available / 51 sold</t>
  </si>
  <si>
    <t>May 23, 2024 16:34:42 PDT</t>
  </si>
  <si>
    <t>US $16.90</t>
  </si>
  <si>
    <t>10 available / 127 sold</t>
  </si>
  <si>
    <t>May 21, 2024 08:40:15 PDT</t>
  </si>
  <si>
    <t>Houbigant</t>
  </si>
  <si>
    <t>US $68.00/ea</t>
  </si>
  <si>
    <t>6 available / 33 sold</t>
  </si>
  <si>
    <t>May 22, 2024 14:53:19 PDT</t>
  </si>
  <si>
    <t>Apr 11, 2024 04:33:41 PDT</t>
  </si>
  <si>
    <t>Nine Mile Falls, Washington, United States</t>
  </si>
  <si>
    <t>US $50.79/ea</t>
  </si>
  <si>
    <t>Limited quantity available / 7,506 sold</t>
  </si>
  <si>
    <t>US $17.18</t>
  </si>
  <si>
    <t>May 22, 2024 11:57:54 PDT</t>
  </si>
  <si>
    <t>US $21.91/ea</t>
  </si>
  <si>
    <t>96 available / 1,831 sold</t>
  </si>
  <si>
    <t>May 24, 2024 09:06:07 PDT</t>
  </si>
  <si>
    <t>US $48.97</t>
  </si>
  <si>
    <t>4 available / 30 sold</t>
  </si>
  <si>
    <t>May 13, 2024 02:58:59 PDT</t>
  </si>
  <si>
    <t>Matosinhos, Portugal</t>
  </si>
  <si>
    <t>6 available / 209 sold</t>
  </si>
  <si>
    <t>May 20, 2024 06:16:20 PDT</t>
  </si>
  <si>
    <t>US $96.95</t>
  </si>
  <si>
    <t>May 15, 2024 23:13:02 PDT</t>
  </si>
  <si>
    <t>May 23, 2024 16:32:28 PDT</t>
  </si>
  <si>
    <t>9 available / 14 sold</t>
  </si>
  <si>
    <t>May 16, 2024 14:46:48 PDT</t>
  </si>
  <si>
    <t>US $69.97</t>
  </si>
  <si>
    <t>8 available / 30 sold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</si>
  <si>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</si>
  <si>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</si>
  <si>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</si>
  <si>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</si>
  <si>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</si>
  <si>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</si>
  <si>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GIVENCHY</t>
  </si>
  <si>
    <t>8 available / 180 sold</t>
  </si>
  <si>
    <t>May 16, 2024 14:16:01 PDT</t>
  </si>
  <si>
    <t>May 23, 2024 11:50:59 PDT</t>
  </si>
  <si>
    <t>US $188.30/ea</t>
  </si>
  <si>
    <t>Limited quantity available / 266 sold</t>
  </si>
  <si>
    <t>US $55.45</t>
  </si>
  <si>
    <t>May 22, 2024 11:50:40 PDT</t>
  </si>
  <si>
    <t>US $18.33/ea</t>
  </si>
  <si>
    <t>More than 10 available / 1,332 sold</t>
  </si>
  <si>
    <t>May 22, 2024 09:47:13 PDT</t>
  </si>
  <si>
    <t>US $123.99</t>
  </si>
  <si>
    <t>19 available / 5 sold</t>
  </si>
  <si>
    <t>May 16, 2024 17:44:35 PDT</t>
  </si>
  <si>
    <t>US $70.00</t>
  </si>
  <si>
    <t>May 03, 2024 11:43:56 PDT</t>
  </si>
  <si>
    <t>Eau de Parfum/ Eau de Toilette</t>
  </si>
  <si>
    <t>US $3.50/ea</t>
  </si>
  <si>
    <t>4 available / 3,009 sold</t>
  </si>
  <si>
    <t>May 23, 2024 09:24:03 PDT</t>
  </si>
  <si>
    <t>May 20, 2024 23:42:53 PDT</t>
  </si>
  <si>
    <t>Deodorant Body Spray</t>
  </si>
  <si>
    <t>US $42.99</t>
  </si>
  <si>
    <t>4 available / 26 sold</t>
  </si>
  <si>
    <t>Whittier, California, United States</t>
  </si>
  <si>
    <t>US $71.90/ea</t>
  </si>
  <si>
    <t>10 available / 244 sold</t>
  </si>
  <si>
    <t>May 23, 2024 16:30:10 PDT</t>
  </si>
  <si>
    <t>May 19, 2024 09:08:53 PDT</t>
  </si>
  <si>
    <t>US $16.34</t>
  </si>
  <si>
    <t>5 available / 103 sold</t>
  </si>
  <si>
    <t>May 23, 2024 13:46:24 PDT</t>
  </si>
  <si>
    <t>Plano, Texas, United States</t>
  </si>
  <si>
    <t>US $44.61/ea</t>
  </si>
  <si>
    <t>54 available / 27 sold</t>
  </si>
  <si>
    <t>May 08, 2024 07:49:55 PDT</t>
  </si>
  <si>
    <t>US $18.66/ea</t>
  </si>
  <si>
    <t>26 available / 58 sold</t>
  </si>
  <si>
    <t>May 06, 2024 23:28:14 PDT</t>
  </si>
  <si>
    <t>US $62.62/ea</t>
  </si>
  <si>
    <t>3 available / 335 sold</t>
  </si>
  <si>
    <t>May 23, 2024 07:17:14 PDT</t>
  </si>
  <si>
    <t>Tiffany</t>
  </si>
  <si>
    <t>May 01, 2024 23:21:12 PDT</t>
  </si>
  <si>
    <t>US $178.99</t>
  </si>
  <si>
    <t>Last One / 77 sold</t>
  </si>
  <si>
    <t>May 22, 2024 16:37:14 PDT</t>
  </si>
  <si>
    <t>emper</t>
  </si>
  <si>
    <t>US $29.95</t>
  </si>
  <si>
    <t>US $58.99/ea</t>
  </si>
  <si>
    <t>8 available / 22 sold</t>
  </si>
  <si>
    <t>May 21, 2024 00:24:47 PDT</t>
  </si>
  <si>
    <t>US $40.95</t>
  </si>
  <si>
    <t>Apr 26, 2024 08:32:12 PDT</t>
  </si>
  <si>
    <t>Pompano Beach, Florida, United States</t>
  </si>
  <si>
    <t>May 17, 2024 11:43:56 PDT</t>
  </si>
  <si>
    <t>Shepherdsville, Kentucky, United States</t>
  </si>
  <si>
    <t>US $71.98</t>
  </si>
  <si>
    <t>Last One / 100 sold</t>
  </si>
  <si>
    <t>May 24, 2024 06:21:19 PDT</t>
  </si>
  <si>
    <t>More than 10 available / 61 sold</t>
  </si>
  <si>
    <t>May 11, 2024 02:03:08 PDT</t>
  </si>
  <si>
    <t>MONTALE</t>
  </si>
  <si>
    <t>6 available / 4 sold</t>
  </si>
  <si>
    <t>May 23, 2024 17:42:12 PDT</t>
  </si>
  <si>
    <t>Irving, Texas, United States</t>
  </si>
  <si>
    <t>Oil</t>
  </si>
  <si>
    <t>US $9.96/ea</t>
  </si>
  <si>
    <t>More than 10 available / 266 sold</t>
  </si>
  <si>
    <t>May 08, 2024 18:36:48 PDT</t>
  </si>
  <si>
    <t>BRUT</t>
  </si>
  <si>
    <t>Splash-on</t>
  </si>
  <si>
    <t>US $19.97/ea</t>
  </si>
  <si>
    <t>4 available / 15 sold</t>
  </si>
  <si>
    <t>May 20, 2024 21:21:03 PDT</t>
  </si>
  <si>
    <t>US $12.99</t>
  </si>
  <si>
    <t>May 21, 2024 19:32:52 PDT</t>
  </si>
  <si>
    <t>US $18.89/ea</t>
  </si>
  <si>
    <t>10 available / 125 sold</t>
  </si>
  <si>
    <t>May 24, 2024 08:50:11 PDT</t>
  </si>
  <si>
    <t>Mar 06, 2024 12:02:36 PST</t>
  </si>
  <si>
    <t>CHRISTIAN DIOR</t>
  </si>
  <si>
    <t>More than 10 available / 29 sold</t>
  </si>
  <si>
    <t>May 23, 2024 14:34:55 PDT</t>
  </si>
  <si>
    <t>Orma, West Virginia, United States</t>
  </si>
  <si>
    <t>4 available / 48 sold</t>
  </si>
  <si>
    <t>May 12, 2024 09:22:09 PDT</t>
  </si>
  <si>
    <t>Pomona,California, Hong Kong</t>
  </si>
  <si>
    <t>US $24.35/ea</t>
  </si>
  <si>
    <t>More than 10 available / 88 sold</t>
  </si>
  <si>
    <t>May 24, 2024 10:21:23 PDT</t>
  </si>
  <si>
    <t>9 available / 3 sold</t>
  </si>
  <si>
    <t>May 21, 2024 19:21:40 PDT</t>
  </si>
  <si>
    <t>US $160.27/ea</t>
  </si>
  <si>
    <t>3 available / 47 sold</t>
  </si>
  <si>
    <t>May 23, 2024 08:01:21 PDT</t>
  </si>
  <si>
    <t>edt</t>
  </si>
  <si>
    <t>US $24.50/ea</t>
  </si>
  <si>
    <t>More than 10 available / 415 sold</t>
  </si>
  <si>
    <t>May 07, 2024 07:48:23 PDT</t>
  </si>
  <si>
    <t>May 24, 2024 08:56:44 PDT</t>
  </si>
  <si>
    <t>US $29.20/ea</t>
  </si>
  <si>
    <t>21 available / 121 sold</t>
  </si>
  <si>
    <t>May 24, 2024 07:22:11 PDT</t>
  </si>
  <si>
    <t>Blue Perfumes</t>
  </si>
  <si>
    <t>May 17, 2024 19:44:33 PDT</t>
  </si>
  <si>
    <t>20744, United States</t>
  </si>
  <si>
    <t>US $29.78/ea</t>
  </si>
  <si>
    <t>Limited quantity available / 604 sold</t>
  </si>
  <si>
    <t>May 23, 2024 03:00:09 PDT</t>
  </si>
  <si>
    <t>US $30.93/ea</t>
  </si>
  <si>
    <t>65 available / 998 sold</t>
  </si>
  <si>
    <t>May 21, 2024 22:39:17 PDT</t>
  </si>
  <si>
    <t>US $180.17</t>
  </si>
  <si>
    <t>Limited quantity available / 327 sold</t>
  </si>
  <si>
    <t>May 24, 2024 08:16:13 PDT</t>
  </si>
  <si>
    <t>US $35.58/ea</t>
  </si>
  <si>
    <t>Limited quantity available / 1,024 sold</t>
  </si>
  <si>
    <t>May 16, 2024 08:36:58 PDT</t>
  </si>
  <si>
    <t>fragance one</t>
  </si>
  <si>
    <t>US $179.99</t>
  </si>
  <si>
    <t>May 21, 2024 01:44:29 PDT</t>
  </si>
  <si>
    <t>West Chester, Pennsylvania, United States</t>
  </si>
  <si>
    <t>US $45.35/ea</t>
  </si>
  <si>
    <t>2 available / 1 sold</t>
  </si>
  <si>
    <t>May 23, 2024 01:40:32 PDT</t>
  </si>
  <si>
    <t>DELHI, DELHI, India</t>
  </si>
  <si>
    <t>6 available / 50 sold</t>
  </si>
  <si>
    <t>May 21, 2024 23:36:30 PDT</t>
  </si>
  <si>
    <t>Feb 28, 2024 07:26:54 PST</t>
  </si>
  <si>
    <t>EDC</t>
  </si>
  <si>
    <t>US $110.19</t>
  </si>
  <si>
    <t>10 available / 11 sold</t>
  </si>
  <si>
    <t>May 23, 2024 21:56:47 PDT</t>
  </si>
  <si>
    <t>Corona, California, United States</t>
  </si>
  <si>
    <t>Michael Malul Gents Scents</t>
  </si>
  <si>
    <t>US $99.86</t>
  </si>
  <si>
    <t>May 22, 2024 19:01:37 PDT</t>
  </si>
  <si>
    <t>Xerjoff</t>
  </si>
  <si>
    <t>May 16, 2024 15:22:05 PDT</t>
  </si>
  <si>
    <t>7 available / 22 sold</t>
  </si>
  <si>
    <t>May 13, 2024 05:49:38 PDT</t>
  </si>
  <si>
    <t>Punta Gorda, Florida, United States</t>
  </si>
  <si>
    <t>May 13, 2024 09:33:41 PDT</t>
  </si>
  <si>
    <t>US $8.99</t>
  </si>
  <si>
    <t>Apr 22, 2024 05:34:36 PDT</t>
  </si>
  <si>
    <t>Saint Petersburg, Florida, United States</t>
  </si>
  <si>
    <t>united scents</t>
  </si>
  <si>
    <t>May 18, 2024 15:52:35 PDT</t>
  </si>
  <si>
    <t>Arcadia, California, United States</t>
  </si>
  <si>
    <t>US $39.25/ea</t>
  </si>
  <si>
    <t>10 available / 30 sold</t>
  </si>
  <si>
    <t>May 23, 2024 05:20:25 PDT</t>
  </si>
  <si>
    <t>US $16.50/ea</t>
  </si>
  <si>
    <t>5 available / 67 sold</t>
  </si>
  <si>
    <t>May 23, 2024 12:09:40 PDT</t>
  </si>
  <si>
    <t>Roseville, California, United States</t>
  </si>
  <si>
    <t>Lynnwood, Washington, United States</t>
  </si>
  <si>
    <t>More than 10 available / 577 sold</t>
  </si>
  <si>
    <t>May 17, 2024 12:17:44 PDT</t>
  </si>
  <si>
    <t>US $68.72/ea</t>
  </si>
  <si>
    <t>More than 10 available / 55 sold</t>
  </si>
  <si>
    <t>May 23, 2024 02:11:39 PDT</t>
  </si>
  <si>
    <t>Ann Arbor, Michigan, United States</t>
  </si>
  <si>
    <t>US $25.89</t>
  </si>
  <si>
    <t>May 09, 2024 22:38:22 PDT</t>
  </si>
  <si>
    <t>US $250.00</t>
  </si>
  <si>
    <t>Paterson, New Jersey, United States</t>
  </si>
  <si>
    <t>US $16.95</t>
  </si>
  <si>
    <t>More than 10 available / 69 sold</t>
  </si>
  <si>
    <t>Sep 15, 2023 06:32:59 PDT</t>
  </si>
  <si>
    <t>US $36.50/ea</t>
  </si>
  <si>
    <t>3 available / 185 sold</t>
  </si>
  <si>
    <t>May 23, 2024 23:20:00 PDT</t>
  </si>
  <si>
    <t>Battle Creek, Michigan, United States</t>
  </si>
  <si>
    <t>6 available / 30 sold</t>
  </si>
  <si>
    <t>Feb 26, 2024 12:33:18 PST</t>
  </si>
  <si>
    <t>US $24.95</t>
  </si>
  <si>
    <t>Car Air Freshener</t>
  </si>
  <si>
    <t>US $7.19</t>
  </si>
  <si>
    <t>Apr 17, 2024 23:41:54 PDT</t>
  </si>
  <si>
    <t>10 available / 13 sold</t>
  </si>
  <si>
    <t>May 15, 2024 17:42:12 PDT</t>
  </si>
  <si>
    <t>Edison, New Jersey, Hong Kong</t>
  </si>
  <si>
    <t>Eau De Cologne</t>
  </si>
  <si>
    <t>US $9.45</t>
  </si>
  <si>
    <t>More than 10 available / 56 sold</t>
  </si>
  <si>
    <t>May 23, 2024 16:11:19 PDT</t>
  </si>
  <si>
    <t>Boynton Beach, Florida, United States</t>
  </si>
  <si>
    <t>May 24, 2024 07:13:32 PDT</t>
  </si>
  <si>
    <t>More than 10 available / 81 sold</t>
  </si>
  <si>
    <t>May 24, 2024 08:53:14 PDT</t>
  </si>
  <si>
    <t>US $54.85/ea</t>
  </si>
  <si>
    <t>9 available / 8 sold</t>
  </si>
  <si>
    <t>May 16, 2024 09:13:11 PDT</t>
  </si>
  <si>
    <t>US $42.39</t>
  </si>
  <si>
    <t>May 20, 2024 19:16:37 PDT</t>
  </si>
  <si>
    <t>California,United States,HK, Hong Kong</t>
  </si>
  <si>
    <t>aladdin</t>
  </si>
  <si>
    <t>8 available / 3 sold</t>
  </si>
  <si>
    <t>Port Orange, Florida, United States</t>
  </si>
  <si>
    <t>May 23, 2024 08:08:50 PDT</t>
  </si>
  <si>
    <t>May 20, 2024 11:56:38 PDT</t>
  </si>
  <si>
    <t>May 19, 2024 17:29:51 PDT</t>
  </si>
  <si>
    <t>US $49.50/ea</t>
  </si>
  <si>
    <t>US $56.99/ea</t>
  </si>
  <si>
    <t>68 available / 993 sold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</si>
  <si>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</si>
  <si>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</si>
  <si>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</si>
  <si>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</si>
  <si>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</si>
  <si>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</si>
  <si>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</si>
  <si>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</si>
  <si>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More than 10 available / 504 sold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</si>
  <si>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</si>
  <si>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</si>
  <si>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</si>
  <si>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</si>
  <si>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</si>
  <si>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</si>
  <si>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9 available / 5 sold</t>
  </si>
  <si>
    <t>May 01, 2024 15:10:55 PDT</t>
  </si>
  <si>
    <t>US $68.30</t>
  </si>
  <si>
    <t>Limited quantity available / 137 sold</t>
  </si>
  <si>
    <t>May 24, 2024 07:59:03 PDT</t>
  </si>
  <si>
    <t>US $65.99</t>
  </si>
  <si>
    <t>Apr 29, 2024 18:20:43 PDT</t>
  </si>
  <si>
    <t>US $41.44/ea</t>
  </si>
  <si>
    <t>84 available / 145 sold</t>
  </si>
  <si>
    <t>May 20, 2024 23:05:25 PDT</t>
  </si>
  <si>
    <t>US $10.91</t>
  </si>
  <si>
    <t>Last One / 654 sold</t>
  </si>
  <si>
    <t>May 16, 2024 00:14:43 PDT</t>
  </si>
  <si>
    <t>May 17, 2024 11:37:40 PDT</t>
  </si>
  <si>
    <t>US $25.74/ea</t>
  </si>
  <si>
    <t>May 14, 2024 11:28:23 PDT</t>
  </si>
  <si>
    <t>US $50.44/ea</t>
  </si>
  <si>
    <t>13 available / 636 sold</t>
  </si>
  <si>
    <t>May 24, 2024 08:09:07 PDT</t>
  </si>
  <si>
    <t>US $6.94/ea</t>
  </si>
  <si>
    <t>May 20, 2024 14:10:33 PDT</t>
  </si>
  <si>
    <t>10 available / 12 sold</t>
  </si>
  <si>
    <t>May 23, 2024 19:46:45 PDT</t>
  </si>
  <si>
    <t>4 available / 442 sold</t>
  </si>
  <si>
    <t>May 22, 2024 00:57:56 PDT</t>
  </si>
  <si>
    <t>US $14.57/ea</t>
  </si>
  <si>
    <t>54 available / 63 sold</t>
  </si>
  <si>
    <t>May 19, 2024 12:27:34 PDT</t>
  </si>
  <si>
    <t>Al Rehab</t>
  </si>
  <si>
    <t>US $8.99/ea</t>
  </si>
  <si>
    <t>7 available / 76 sold</t>
  </si>
  <si>
    <t>Mar 22, 2024 06:23:29 PDT</t>
  </si>
  <si>
    <t>Lynbrook, New York, United States</t>
  </si>
  <si>
    <t>US $19.90</t>
  </si>
  <si>
    <t>More than 10 lots available (10 items per lot) / 331 sold</t>
  </si>
  <si>
    <t>Nov 21, 2023 08:32:55 PST</t>
  </si>
  <si>
    <t>Stony Brook, New York, United States</t>
  </si>
  <si>
    <t>BOD man</t>
  </si>
  <si>
    <t>Fragrance Body Spray</t>
  </si>
  <si>
    <t>3 available / 32 sold</t>
  </si>
  <si>
    <t>May 22, 2024 17:01:35 PDT</t>
  </si>
  <si>
    <t>Multiple Locations, United States</t>
  </si>
  <si>
    <t>US $56.00/ea</t>
  </si>
  <si>
    <t>3 available / 677 sold</t>
  </si>
  <si>
    <t>May 20, 2024 15:18:21 PDT</t>
  </si>
  <si>
    <t>Amouage</t>
  </si>
  <si>
    <t>US $166.18/ea</t>
  </si>
  <si>
    <t>May 22, 2024 07:34:36 PDT</t>
  </si>
  <si>
    <t>More than 10 available / 60 sold</t>
  </si>
  <si>
    <t>May 10, 2024 07:19:49 PDT</t>
  </si>
  <si>
    <t>8 available / 12 sold</t>
  </si>
  <si>
    <t>May 17, 2024 18:15:39 PDT</t>
  </si>
  <si>
    <t>May 19, 2024 18:22:54 PDT</t>
  </si>
  <si>
    <t>Apr 24, 2024 15:40:00 PDT</t>
  </si>
  <si>
    <t>US $41.00</t>
  </si>
  <si>
    <t>8 available / 397 sold</t>
  </si>
  <si>
    <t>May 16, 2024 08:19:57 PDT</t>
  </si>
  <si>
    <t>Dana</t>
  </si>
  <si>
    <t>US $14.99/ea</t>
  </si>
  <si>
    <t>More than 10 available / 647 sold</t>
  </si>
  <si>
    <t>Feb 16, 2024 20:33:33 PST</t>
  </si>
  <si>
    <t>US $66.52/ea</t>
  </si>
  <si>
    <t>More than 10 available / 1,963 sold</t>
  </si>
  <si>
    <t>May 15, 2024 10:37:08 PDT</t>
  </si>
  <si>
    <t>US $24.00</t>
  </si>
  <si>
    <t>3 available / 2 sold</t>
  </si>
  <si>
    <t>Arlington Heights, Illinois, United States</t>
  </si>
  <si>
    <t>US $26.99</t>
  </si>
  <si>
    <t>8 available / 21 sold</t>
  </si>
  <si>
    <t>May 17, 2024 11:34:20 PDT</t>
  </si>
  <si>
    <t>Dvyne Fragrances</t>
  </si>
  <si>
    <t>Body Oil</t>
  </si>
  <si>
    <t>US $8.00/ea</t>
  </si>
  <si>
    <t>More than 10 available / 1,113 sold</t>
  </si>
  <si>
    <t>May 22, 2024 08:22:07 PDT</t>
  </si>
  <si>
    <t>110 available / 692 sold</t>
  </si>
  <si>
    <t>May 21, 2024 23:18:09 PDT</t>
  </si>
  <si>
    <t>US $20.08/ea</t>
  </si>
  <si>
    <t>29 available / 518 sold</t>
  </si>
  <si>
    <t>Apr 23, 2024 03:57:22 PDT</t>
  </si>
  <si>
    <t>Arabian Oud</t>
  </si>
  <si>
    <t>US $99.63</t>
  </si>
  <si>
    <t>May 22, 2024 09:26:42 PDT</t>
  </si>
  <si>
    <t>10 available / 82 sold</t>
  </si>
  <si>
    <t>May 23, 2024 05:39:50 PDT</t>
  </si>
  <si>
    <t>US $23.62/ea</t>
  </si>
  <si>
    <t>130 available / 415 sold</t>
  </si>
  <si>
    <t>May 22, 2024 09:23:27 PDT</t>
  </si>
  <si>
    <t>US $40.13</t>
  </si>
  <si>
    <t>9 available / 2,703 sold</t>
  </si>
  <si>
    <t>May 22, 2024 15:05:34 PDT</t>
  </si>
  <si>
    <t>More than 10 available / 180 sold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</si>
  <si>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</si>
  <si>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</si>
  <si>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</si>
  <si>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</si>
  <si>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</si>
  <si>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</si>
  <si>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</si>
  <si>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</si>
  <si>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6 available / 27 sold</t>
  </si>
  <si>
    <t>May 20, 2024 13:03:25 PDT</t>
  </si>
  <si>
    <t>Astoria, New York, United States</t>
  </si>
  <si>
    <t>US $53.42/ea</t>
  </si>
  <si>
    <t>May 24, 2024 08:49:52 PDT</t>
  </si>
  <si>
    <t>Falic Fashion Group</t>
  </si>
  <si>
    <t>US $29.98/ea</t>
  </si>
  <si>
    <t>7 available / 14 sold</t>
  </si>
  <si>
    <t>May 05, 2024 09:23:49 PDT</t>
  </si>
  <si>
    <t>Burlington, Ontario, Canada</t>
  </si>
  <si>
    <t>US $47.26/ea</t>
  </si>
  <si>
    <t>88 available / 52 sold</t>
  </si>
  <si>
    <t>May 09, 2024 11:34:50 PDT</t>
  </si>
  <si>
    <t>10 available / 420 sold</t>
  </si>
  <si>
    <t>May 23, 2024 23:31:35 PDT</t>
  </si>
  <si>
    <t>US $76.65/ea</t>
  </si>
  <si>
    <t>May 23, 2024 08:58:49 PDT</t>
  </si>
  <si>
    <t>US $29.74/ea</t>
  </si>
  <si>
    <t>19 available / 578 sold</t>
  </si>
  <si>
    <t>May 16, 2024 21:09:42 PDT</t>
  </si>
  <si>
    <t>May 23, 2024 20:57:06 PDT</t>
  </si>
  <si>
    <t>Michel Germain</t>
  </si>
  <si>
    <t>US $41.19/ea</t>
  </si>
  <si>
    <t>21 available / 258 sold</t>
  </si>
  <si>
    <t>May 24, 2024 09:22:09 PDT</t>
  </si>
  <si>
    <t>US $69.25</t>
  </si>
  <si>
    <t>May 22, 2024 04:50:01 PDT</t>
  </si>
  <si>
    <t>Selinsgrove, Pennsylvania, United States</t>
  </si>
  <si>
    <t>US $31.47/ea</t>
  </si>
  <si>
    <t>48 available / 397 sold</t>
  </si>
  <si>
    <t>Apr 24, 2024 22:58:09 PDT</t>
  </si>
  <si>
    <t>The Baron</t>
  </si>
  <si>
    <t>Nov 12, 2023 12:18:20 PST</t>
  </si>
  <si>
    <t>Canton, Michigan, United States</t>
  </si>
  <si>
    <t>US $55.99/ea</t>
  </si>
  <si>
    <t>10 available / 368 sold</t>
  </si>
  <si>
    <t>May 22, 2024 14:25:46 PDT</t>
  </si>
  <si>
    <t>US $18.32/ea</t>
  </si>
  <si>
    <t>More than 10 available / 211 sold</t>
  </si>
  <si>
    <t>May 22, 2024 17:14:56 PDT</t>
  </si>
  <si>
    <t>Nina Ricci</t>
  </si>
  <si>
    <t>US $120.00/ea</t>
  </si>
  <si>
    <t>May 14, 2024 13:13:29 PDT</t>
  </si>
  <si>
    <t>Argyle, Texas, United States</t>
  </si>
  <si>
    <t>Vince Camuto</t>
  </si>
  <si>
    <t>US $21.21/ea</t>
  </si>
  <si>
    <t>May 14, 2024 16:12:02 PDT</t>
  </si>
  <si>
    <t>US $80.00/ea</t>
  </si>
  <si>
    <t>10 available / 197 sold</t>
  </si>
  <si>
    <t>May 24, 2024 03:20:57 PDT</t>
  </si>
  <si>
    <t>US $49.52</t>
  </si>
  <si>
    <t>May 11, 2024 20:45:30 PDT</t>
  </si>
  <si>
    <t>2 available / 45 sold</t>
  </si>
  <si>
    <t>Oct 20, 2022 18:26:14 PDT</t>
  </si>
  <si>
    <t>Bellaire, Texas, United States</t>
  </si>
  <si>
    <t>US $91.00</t>
  </si>
  <si>
    <t>May 02, 2024 19:37:12 PDT</t>
  </si>
  <si>
    <t>Manor, Texas, United States</t>
  </si>
  <si>
    <t>US $9.78</t>
  </si>
  <si>
    <t>50 available / 8 sold</t>
  </si>
  <si>
    <t>May 23, 2024 13:21:23 PDT</t>
  </si>
  <si>
    <t>Maison Margiela</t>
  </si>
  <si>
    <t>US $84.98</t>
  </si>
  <si>
    <t>8 available / 42 sold</t>
  </si>
  <si>
    <t>May 21, 2024 07:56:03 PDT</t>
  </si>
  <si>
    <t>Mercedes Benz</t>
  </si>
  <si>
    <t>US $41.87/ea</t>
  </si>
  <si>
    <t>May 23, 2024 08:57:02 PDT</t>
  </si>
  <si>
    <t>10 available / 496 sold</t>
  </si>
  <si>
    <t>May 19, 2024 16:41:48 PDT</t>
  </si>
  <si>
    <t>US $18.76/ea</t>
  </si>
  <si>
    <t>5 available / 227 sold</t>
  </si>
  <si>
    <t>May 20, 2024 20:39:02 PDT</t>
  </si>
  <si>
    <t>Juicy Couture</t>
  </si>
  <si>
    <t>US $22.60/ea</t>
  </si>
  <si>
    <t>9 available / 541 sold</t>
  </si>
  <si>
    <t>May 24, 2024 07:10:03 PDT</t>
  </si>
  <si>
    <t>US $33.00/ea</t>
  </si>
  <si>
    <t>4 available / 401 sold</t>
  </si>
  <si>
    <t>May 23, 2024 05:29:20 PDT</t>
  </si>
  <si>
    <t>Chico, California, United States</t>
  </si>
  <si>
    <t>Cuba</t>
  </si>
  <si>
    <t>US $10.58/ea</t>
  </si>
  <si>
    <t>31 available / 391 sold</t>
  </si>
  <si>
    <t>May 23, 2024 18:45:09 PDT</t>
  </si>
  <si>
    <t>US $20.48/ea</t>
  </si>
  <si>
    <t>Limited quantity available / 2,624 sold</t>
  </si>
  <si>
    <t>May 22, 2024 21:41:09 PDT</t>
  </si>
  <si>
    <t>US $18.84/ea</t>
  </si>
  <si>
    <t>47 available / 674 sold</t>
  </si>
  <si>
    <t>May 21, 2024 07:27:08 PDT</t>
  </si>
  <si>
    <t>US $40.72/ea</t>
  </si>
  <si>
    <t>More than 10 available / 232 sold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</si>
  <si>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</si>
  <si>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</si>
  <si>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</si>
  <si>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</si>
  <si>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</si>
  <si>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</si>
  <si>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</si>
  <si>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More than 10 available / 177 sold</t>
  </si>
  <si>
    <t>May 22, 2024 12:42:51 PDT</t>
  </si>
  <si>
    <t>7 available / 24 sold</t>
  </si>
  <si>
    <t>GUESS</t>
  </si>
  <si>
    <t>US $20.28/ea</t>
  </si>
  <si>
    <t>45 available / 1,613 sold</t>
  </si>
  <si>
    <t>May 24, 2024 08:14:07 PDT</t>
  </si>
  <si>
    <t>US $30.58</t>
  </si>
  <si>
    <t>May 23, 2024 08:39:30 PDT</t>
  </si>
  <si>
    <t>2 available / 305 sold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</si>
  <si>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</si>
  <si>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</si>
  <si>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</si>
  <si>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</si>
  <si>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</si>
  <si>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</si>
  <si>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Brand</t>
  </si>
  <si>
    <t>TYPE</t>
  </si>
  <si>
    <t>PRICE</t>
  </si>
  <si>
    <t>Available</t>
  </si>
  <si>
    <t>last Updated</t>
  </si>
  <si>
    <t>Item Location</t>
  </si>
  <si>
    <t> Basic Excel Formulas (Part 1)</t>
  </si>
  <si>
    <t>Use: SUM(), AVERAGE(), MIN(), MAX(), COUNT()</t>
  </si>
  <si>
    <r>
      <t>Task:</t>
    </r>
    <r>
      <rPr>
        <sz val="13.95"/>
        <color rgb="FF000000"/>
        <rFont val="Arial"/>
        <family val="2"/>
      </rPr>
      <t xml:space="preserve"> Create a summary table showing total, average, and count of main numeric columns.</t>
    </r>
  </si>
  <si>
    <t>Total</t>
  </si>
  <si>
    <t>Sum of Price</t>
  </si>
  <si>
    <t xml:space="preserve"># Available </t>
  </si>
  <si>
    <t>#Sold Qty</t>
  </si>
  <si>
    <t>Min Price</t>
  </si>
  <si>
    <t>Max Price</t>
  </si>
  <si>
    <t>product count</t>
  </si>
  <si>
    <t>Available count</t>
  </si>
  <si>
    <t>Column1</t>
  </si>
  <si>
    <t>Use: IF(), SUMIF(), COUNTIF(), AVERAGEIF()</t>
  </si>
  <si>
    <r>
      <t>Task:</t>
    </r>
    <r>
      <rPr>
        <sz val="13.95"/>
        <color rgb="FF000000"/>
        <rFont val="Arial"/>
        <family val="2"/>
      </rPr>
      <t xml:space="preserve"> Write at least 3 conditions (for example, count sales above 10,000).</t>
    </r>
  </si>
  <si>
    <t>Stock prediction</t>
  </si>
  <si>
    <t>IF()</t>
  </si>
  <si>
    <t>Stock Prediction column added in table</t>
  </si>
  <si>
    <t>Sum of sold product "Eau de Toilette"</t>
  </si>
  <si>
    <t>Avg price for type "Perfume"</t>
  </si>
  <si>
    <t>Avg price for type " Fragrances"</t>
  </si>
  <si>
    <t>Day 4 – Basic Excel Formulas (Part 2)</t>
  </si>
  <si>
    <t> Day 3 – Basic Excel Formulas (Part 1)</t>
  </si>
  <si>
    <t>Day 5 – Text Functions Practice</t>
  </si>
  <si>
    <t>Use: LEFT(), RIGHT(), MID(), UPPER(), LOWER(), PROPER()</t>
  </si>
  <si>
    <r>
      <t>Task:</t>
    </r>
    <r>
      <rPr>
        <sz val="13.95"/>
        <color rgb="FF000000"/>
        <rFont val="Arial"/>
        <family val="2"/>
      </rPr>
      <t xml:space="preserve"> Clean and format text columns (names, cities, etc.) properly.</t>
    </r>
  </si>
  <si>
    <t>Statecode Pricewithcurrency</t>
  </si>
  <si>
    <t>Statecode Pricewithcurrency column added using Left() function</t>
  </si>
  <si>
    <t xml:space="preserve">Fetched the Product Price </t>
  </si>
  <si>
    <t xml:space="preserve">Product Price fetched using If, Mid, Find Fucntions </t>
  </si>
  <si>
    <t>Upper()</t>
  </si>
  <si>
    <t>Lower()</t>
  </si>
  <si>
    <t>Proper()</t>
  </si>
  <si>
    <t>TimeZone(Right())</t>
  </si>
  <si>
    <t>Column added for upper(), Lower(), Proper() , rightfunction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</si>
</sst>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0" xfId="0" applyFont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24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Q1002" totalsRowCount="1" headerRowDxfId="4">
  <autoFilter ref="A1:Q1001" xr:uid="{00000000-0009-0000-0100-000002000000}"/>
  <tableColumns count="17">
    <tableColumn id="1" xr3:uid="{00000000-0010-0000-0000-000001000000}" name="Brand" totalsRowLabel="Total"/>
    <tableColumn id="18" xr3:uid="{D56176E1-132B-46DF-8D90-DC6C1F91B9AC}" name="Upper()" dataDxfId="7">
      <calculatedColumnFormula>UPPER(Table2[[#This Row],[Brand]])</calculatedColumnFormula>
    </tableColumn>
    <tableColumn id="17" xr3:uid="{73F8B926-F151-49F0-8A6E-53E74A4D0571}" name="Lower()" dataDxfId="6">
      <calculatedColumnFormula>LOWER(Table2[[#This Row],[Brand]])</calculatedColumnFormula>
    </tableColumn>
    <tableColumn id="16" xr3:uid="{FB0FE01E-8197-4855-AB35-645B8C6B6410}" name="Proper()" dataDxfId="5">
      <calculatedColumnFormula>PROPER(Table2[[#This Row],[Brand]])</calculatedColumnFormula>
    </tableColumn>
    <tableColumn id="3" xr3:uid="{00000000-0010-0000-0000-000003000000}" name="TYPE"/>
    <tableColumn id="4" xr3:uid="{00000000-0010-0000-0000-000004000000}" name="PRICE"/>
    <tableColumn id="5" xr3:uid="{00000000-0010-0000-0000-000005000000}" name="priceWithCurrency"/>
    <tableColumn id="14" xr3:uid="{5EFBF3E2-A6D9-475A-A275-3CC4075C4F34}" name="Fetched the Product Price " dataDxfId="11">
      <calculatedColumnFormula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calculatedColumnFormula>
    </tableColumn>
    <tableColumn id="2" xr3:uid="{49979F99-073D-46E0-9B42-5B005E81F163}" name="Statecode Pricewithcurrency" dataDxfId="10">
      <calculatedColumnFormula>LEFT(Table2[[#This Row],[priceWithCurrency]],3)</calculatedColumnFormula>
    </tableColumn>
    <tableColumn id="6" xr3:uid="{00000000-0010-0000-0000-000006000000}" name="Available"/>
    <tableColumn id="11" xr3:uid="{4865BB4C-18CD-4B15-BCEE-BEB3D9930739}" name="Stock prediction" dataDxfId="9">
      <calculatedColumnFormula>IF(Table2[[#This Row],[Available]]&lt;=50, "Less Stock", "Required stock" )</calculatedColumnFormula>
    </tableColumn>
    <tableColumn id="12" xr3:uid="{88655D2E-A9B7-44B8-9992-0A3559B89C11}" name="Column1" dataDxfId="8">
      <calculatedColumnFormula>SUMIF(E2:E82,E46,F46:F1001)</calculatedColumnFormula>
    </tableColumn>
    <tableColumn id="7" xr3:uid="{00000000-0010-0000-0000-000007000000}" name="availableText"/>
    <tableColumn id="8" xr3:uid="{00000000-0010-0000-0000-000008000000}" name="sold"/>
    <tableColumn id="9" xr3:uid="{00000000-0010-0000-0000-000009000000}" name="last Updated"/>
    <tableColumn id="19" xr3:uid="{6C33035B-65A7-45EE-AEDA-957EEBC9F627}" name="TimeZone(Right())" dataDxfId="0">
      <calculatedColumnFormula>RIGHT(RIGHT(Table2[[#This Row],[last Updated]],12),4)</calculatedColumnFormula>
    </tableColumn>
    <tableColumn id="10" xr3:uid="{00000000-0010-0000-0000-00000A000000}" name="Item Location" totalsRowFunction="count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906BC1-846E-4BDB-86A1-1A1D523542BE}" name="Table3" displayName="Table3" ref="S7:Y8" totalsRowShown="0" headerRowDxfId="23" dataDxfId="21" headerRowBorderDxfId="22" tableBorderDxfId="20" totalsRowBorderDxfId="19">
  <autoFilter ref="S7:Y8" xr:uid="{FE906BC1-846E-4BDB-86A1-1A1D523542BE}"/>
  <tableColumns count="7">
    <tableColumn id="1" xr3:uid="{65E3F07B-BF71-48C0-8099-0F85ECBA7638}" name="Sum of Price" dataDxfId="18">
      <calculatedColumnFormula>SUM(Table2[PRICE])</calculatedColumnFormula>
    </tableColumn>
    <tableColumn id="2" xr3:uid="{A981933B-6934-460B-A615-712408C59D2D}" name="# Available " dataDxfId="17">
      <calculatedColumnFormula>AVERAGE(Table2[PRICE])</calculatedColumnFormula>
    </tableColumn>
    <tableColumn id="3" xr3:uid="{74DD598C-F728-4FDB-A352-7E05DEDDC4B3}" name="#Sold Qty" dataDxfId="16">
      <calculatedColumnFormula>SUM(N2:N153)</calculatedColumnFormula>
    </tableColumn>
    <tableColumn id="4" xr3:uid="{C61CEB89-21F7-4ACD-83D8-1A8057E3207B}" name="Min Price" dataDxfId="15">
      <calculatedColumnFormula>MIN(Table2[PRICE])</calculatedColumnFormula>
    </tableColumn>
    <tableColumn id="5" xr3:uid="{1237BA2D-0FF2-4D9B-BD45-97379FF16C24}" name="Max Price" dataDxfId="14">
      <calculatedColumnFormula>MAX(Table2[PRICE])</calculatedColumnFormula>
    </tableColumn>
    <tableColumn id="6" xr3:uid="{A4F30924-D872-4C1C-AE5E-7774F261FDC2}" name="product count" dataDxfId="13">
      <calculatedColumnFormula>COUNTA(A2:A568)</calculatedColumnFormula>
    </tableColumn>
    <tableColumn id="7" xr3:uid="{DB4475A3-8557-4195-9588-0A7771492E9C}" name="Available count" dataDxfId="12">
      <calculatedColumnFormula>COUNT(Table2[Available])</calculatedColumnFormula>
    </tableColumn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2"/>
  <sheetViews>
    <sheetView tabSelected="1" topLeftCell="M1" workbookViewId="0">
      <selection activeCell="P13" sqref="P13"/>
    </sheetView>
  </sheetViews>
  <sheetFormatPr defaultRowHeight="15" x14ac:dyDescent="0.25"/>
  <cols>
    <col min="1" max="1" width="25.7109375" bestFit="1" customWidth="1"/>
    <col min="2" max="4" width="25.7109375" customWidth="1"/>
    <col min="5" max="5" width="21.85546875" customWidth="1"/>
    <col min="6" max="6" width="7.7109375" bestFit="1" customWidth="1"/>
    <col min="7" max="9" width="19.85546875" customWidth="1"/>
    <col min="10" max="10" width="11.28515625" bestFit="1" customWidth="1"/>
    <col min="11" max="12" width="11.28515625" customWidth="1"/>
    <col min="13" max="13" width="50.5703125" bestFit="1" customWidth="1"/>
    <col min="15" max="15" width="24" bestFit="1" customWidth="1"/>
    <col min="16" max="16" width="24" customWidth="1"/>
    <col min="17" max="17" width="44.5703125" bestFit="1" customWidth="1"/>
    <col min="19" max="19" width="30.7109375" customWidth="1"/>
    <col min="20" max="20" width="31.28515625" customWidth="1"/>
    <col min="21" max="22" width="14" bestFit="1" customWidth="1"/>
    <col min="23" max="23" width="14.28515625" bestFit="1" customWidth="1"/>
    <col min="24" max="24" width="18" bestFit="1" customWidth="1"/>
    <col min="25" max="25" width="19.42578125" bestFit="1" customWidth="1"/>
  </cols>
  <sheetData>
    <row r="1" spans="1:25" s="15" customFormat="1" x14ac:dyDescent="0.25">
      <c r="A1" s="15" t="s">
        <v>2961</v>
      </c>
      <c r="B1" s="16" t="s">
        <v>2996</v>
      </c>
      <c r="C1" s="16" t="s">
        <v>2997</v>
      </c>
      <c r="D1" s="16" t="s">
        <v>2998</v>
      </c>
      <c r="E1" s="15" t="s">
        <v>2962</v>
      </c>
      <c r="F1" s="15" t="s">
        <v>2963</v>
      </c>
      <c r="G1" s="15" t="s">
        <v>0</v>
      </c>
      <c r="H1" s="16" t="s">
        <v>2994</v>
      </c>
      <c r="I1" s="16" t="s">
        <v>2992</v>
      </c>
      <c r="J1" s="15" t="s">
        <v>2964</v>
      </c>
      <c r="K1" s="15" t="s">
        <v>2981</v>
      </c>
      <c r="L1" s="15" t="s">
        <v>2978</v>
      </c>
      <c r="M1" s="15" t="s">
        <v>1</v>
      </c>
      <c r="N1" s="15" t="s">
        <v>2</v>
      </c>
      <c r="O1" s="15" t="s">
        <v>2965</v>
      </c>
      <c r="P1" s="16" t="s">
        <v>2999</v>
      </c>
      <c r="Q1" s="15" t="s">
        <v>2966</v>
      </c>
    </row>
    <row r="2" spans="1:25" x14ac:dyDescent="0.25">
      <c r="A2" t="s">
        <v>3</v>
      </c>
      <c r="B2" t="str">
        <f>UPPER(Table2[[#This Row],[Brand]])</f>
        <v>DIOR</v>
      </c>
      <c r="C2" t="str">
        <f>LOWER(Table2[[#This Row],[Brand]])</f>
        <v>dior</v>
      </c>
      <c r="D2" t="str">
        <f>PROPER(Table2[[#This Row],[Brand]])</f>
        <v>Dior</v>
      </c>
      <c r="E2" t="s">
        <v>2701</v>
      </c>
      <c r="F2">
        <v>84.99</v>
      </c>
      <c r="G2" t="s">
        <v>5</v>
      </c>
      <c r="H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$84.99</v>
      </c>
      <c r="I2" t="str">
        <f>LEFT(Table2[[#This Row],[priceWithCurrency]],3)</f>
        <v xml:space="preserve">US </v>
      </c>
      <c r="J2">
        <v>10</v>
      </c>
      <c r="K2" t="str">
        <f>IF(Table2[[#This Row],[Available]]&lt;=50, "Less Stock", "Required stock" )</f>
        <v>Less Stock</v>
      </c>
      <c r="L2">
        <f>SUMIF(E2:E82,E46,F46:F1001)</f>
        <v>2117.8199999999997</v>
      </c>
      <c r="M2" t="s">
        <v>6</v>
      </c>
      <c r="N2">
        <v>116</v>
      </c>
      <c r="O2" t="s">
        <v>7</v>
      </c>
      <c r="P2" t="str">
        <f>RIGHT(RIGHT(Table2[[#This Row],[last Updated]],12),4)</f>
        <v xml:space="preserve"> PDT</v>
      </c>
      <c r="Q2" t="s">
        <v>8</v>
      </c>
    </row>
    <row r="3" spans="1:25" ht="18" x14ac:dyDescent="0.25">
      <c r="A3" t="s">
        <v>9</v>
      </c>
      <c r="B3" t="str">
        <f>UPPER(Table2[[#This Row],[Brand]])</f>
        <v>AS SHOW</v>
      </c>
      <c r="C3" t="str">
        <f>LOWER(Table2[[#This Row],[Brand]])</f>
        <v>as show</v>
      </c>
      <c r="D3" t="str">
        <f>PROPER(Table2[[#This Row],[Brand]])</f>
        <v>As Show</v>
      </c>
      <c r="E3" t="s">
        <v>4</v>
      </c>
      <c r="F3">
        <v>109.99</v>
      </c>
      <c r="G3" t="s">
        <v>10</v>
      </c>
      <c r="H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$109.99</v>
      </c>
      <c r="I3" t="str">
        <f>LEFT(Table2[[#This Row],[priceWithCurrency]],3)</f>
        <v xml:space="preserve">US </v>
      </c>
      <c r="J3">
        <v>8</v>
      </c>
      <c r="K3" t="str">
        <f>IF(Table2[[#This Row],[Available]]&lt;=50, "Less Stock", "Required stock" )</f>
        <v>Less Stock</v>
      </c>
      <c r="L3">
        <f>SUMIF(E3:E83,E47,F47:F1002)</f>
        <v>902.98</v>
      </c>
      <c r="M3" t="s">
        <v>11</v>
      </c>
      <c r="N3">
        <v>48</v>
      </c>
      <c r="O3" t="s">
        <v>12</v>
      </c>
      <c r="P3" t="str">
        <f>RIGHT(RIGHT(Table2[[#This Row],[last Updated]],12),4)</f>
        <v xml:space="preserve"> PDT</v>
      </c>
      <c r="Q3" t="s">
        <v>13</v>
      </c>
      <c r="S3" s="1" t="s">
        <v>2988</v>
      </c>
    </row>
    <row r="4" spans="1:25" ht="18" x14ac:dyDescent="0.25">
      <c r="A4" t="s">
        <v>14</v>
      </c>
      <c r="B4" t="str">
        <f>UPPER(Table2[[#This Row],[Brand]])</f>
        <v>UNBRANDED</v>
      </c>
      <c r="C4" t="str">
        <f>LOWER(Table2[[#This Row],[Brand]])</f>
        <v>unbranded</v>
      </c>
      <c r="D4" t="str">
        <f>PROPER(Table2[[#This Row],[Brand]])</f>
        <v>Unbranded</v>
      </c>
      <c r="E4" t="s">
        <v>15</v>
      </c>
      <c r="F4">
        <v>100</v>
      </c>
      <c r="G4" t="s">
        <v>16</v>
      </c>
      <c r="H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$100.00</v>
      </c>
      <c r="I4" t="str">
        <f>LEFT(Table2[[#This Row],[priceWithCurrency]],3)</f>
        <v xml:space="preserve">US </v>
      </c>
      <c r="J4">
        <v>10</v>
      </c>
      <c r="K4" t="str">
        <f>IF(Table2[[#This Row],[Available]]&lt;=50, "Less Stock", "Required stock" )</f>
        <v>Less Stock</v>
      </c>
      <c r="L4">
        <f t="shared" ref="L4:L65" si="0">SUMIF(E4:E84,E48,F48:F1003)</f>
        <v>913.97</v>
      </c>
      <c r="M4" t="s">
        <v>17</v>
      </c>
      <c r="N4">
        <v>27</v>
      </c>
      <c r="O4" t="s">
        <v>18</v>
      </c>
      <c r="P4" t="str">
        <f>RIGHT(RIGHT(Table2[[#This Row],[last Updated]],12),4)</f>
        <v xml:space="preserve"> PDT</v>
      </c>
      <c r="Q4" t="s">
        <v>19</v>
      </c>
      <c r="S4" s="2" t="s">
        <v>2968</v>
      </c>
    </row>
    <row r="5" spans="1:25" ht="18" x14ac:dyDescent="0.25">
      <c r="A5" t="s">
        <v>20</v>
      </c>
      <c r="B5" t="str">
        <f>UPPER(Table2[[#This Row],[Brand]])</f>
        <v>GIORGIO ARMANI</v>
      </c>
      <c r="C5" t="str">
        <f>LOWER(Table2[[#This Row],[Brand]])</f>
        <v>giorgio armani</v>
      </c>
      <c r="D5" t="str">
        <f>PROPER(Table2[[#This Row],[Brand]])</f>
        <v>Giorgio Armani</v>
      </c>
      <c r="E5" t="s">
        <v>15</v>
      </c>
      <c r="F5">
        <v>44.99</v>
      </c>
      <c r="G5" t="s">
        <v>21</v>
      </c>
      <c r="H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$44.99</v>
      </c>
      <c r="I5" t="str">
        <f>LEFT(Table2[[#This Row],[priceWithCurrency]],3)</f>
        <v xml:space="preserve">US </v>
      </c>
      <c r="J5">
        <v>2</v>
      </c>
      <c r="K5" t="str">
        <f>IF(Table2[[#This Row],[Available]]&lt;=50, "Less Stock", "Required stock" )</f>
        <v>Less Stock</v>
      </c>
      <c r="L5">
        <f t="shared" si="0"/>
        <v>2096.2800000000002</v>
      </c>
      <c r="M5" t="s">
        <v>22</v>
      </c>
      <c r="N5">
        <v>159</v>
      </c>
      <c r="O5" t="s">
        <v>23</v>
      </c>
      <c r="P5" t="str">
        <f>RIGHT(RIGHT(Table2[[#This Row],[last Updated]],12),4)</f>
        <v xml:space="preserve"> PDT</v>
      </c>
      <c r="Q5" t="s">
        <v>24</v>
      </c>
      <c r="S5" s="3" t="s">
        <v>2969</v>
      </c>
    </row>
    <row r="6" spans="1:25" x14ac:dyDescent="0.25">
      <c r="A6" t="s">
        <v>25</v>
      </c>
      <c r="B6" t="str">
        <f>UPPER(Table2[[#This Row],[Brand]])</f>
        <v>LATTAFA</v>
      </c>
      <c r="C6" t="str">
        <f>LOWER(Table2[[#This Row],[Brand]])</f>
        <v>lattafa</v>
      </c>
      <c r="D6" t="str">
        <f>PROPER(Table2[[#This Row],[Brand]])</f>
        <v>Lattafa</v>
      </c>
      <c r="E6" t="s">
        <v>26</v>
      </c>
      <c r="F6">
        <v>16.91</v>
      </c>
      <c r="G6" t="s">
        <v>27</v>
      </c>
      <c r="H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$16.91</v>
      </c>
      <c r="I6" t="str">
        <f>LEFT(Table2[[#This Row],[priceWithCurrency]],3)</f>
        <v xml:space="preserve">US </v>
      </c>
      <c r="K6" t="str">
        <f>IF(Table2[[#This Row],[Available]]&lt;=50, "Less Stock", "Required stock" )</f>
        <v>Less Stock</v>
      </c>
      <c r="L6">
        <f t="shared" si="0"/>
        <v>2063.31</v>
      </c>
      <c r="M6" t="s">
        <v>28</v>
      </c>
      <c r="N6">
        <v>156</v>
      </c>
      <c r="O6" t="s">
        <v>29</v>
      </c>
      <c r="P6" t="str">
        <f>RIGHT(RIGHT(Table2[[#This Row],[last Updated]],12),4)</f>
        <v xml:space="preserve"> PDT</v>
      </c>
      <c r="Q6" t="s">
        <v>30</v>
      </c>
    </row>
    <row r="7" spans="1:25" x14ac:dyDescent="0.25">
      <c r="A7" t="s">
        <v>31</v>
      </c>
      <c r="B7" t="str">
        <f>UPPER(Table2[[#This Row],[Brand]])</f>
        <v>MULTIPLE BRANDS</v>
      </c>
      <c r="C7" t="str">
        <f>LOWER(Table2[[#This Row],[Brand]])</f>
        <v>multiple brands</v>
      </c>
      <c r="D7" t="str">
        <f>PROPER(Table2[[#This Row],[Brand]])</f>
        <v>Multiple Brands</v>
      </c>
      <c r="E7" t="s">
        <v>32</v>
      </c>
      <c r="F7">
        <v>14.99</v>
      </c>
      <c r="G7" t="s">
        <v>33</v>
      </c>
      <c r="H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$14.99</v>
      </c>
      <c r="I7" t="str">
        <f>LEFT(Table2[[#This Row],[priceWithCurrency]],3)</f>
        <v xml:space="preserve">US </v>
      </c>
      <c r="J7">
        <v>10</v>
      </c>
      <c r="K7" t="str">
        <f>IF(Table2[[#This Row],[Available]]&lt;=50, "Less Stock", "Required stock" )</f>
        <v>Less Stock</v>
      </c>
      <c r="L7">
        <f t="shared" si="0"/>
        <v>2063.31</v>
      </c>
      <c r="M7" t="s">
        <v>34</v>
      </c>
      <c r="N7">
        <v>79</v>
      </c>
      <c r="O7" t="s">
        <v>35</v>
      </c>
      <c r="P7" t="str">
        <f>RIGHT(RIGHT(Table2[[#This Row],[last Updated]],12),4)</f>
        <v xml:space="preserve"> PDT</v>
      </c>
      <c r="Q7" t="s">
        <v>36</v>
      </c>
      <c r="S7" s="4" t="s">
        <v>2971</v>
      </c>
      <c r="T7" s="5" t="s">
        <v>2972</v>
      </c>
      <c r="U7" s="5" t="s">
        <v>2973</v>
      </c>
      <c r="V7" s="5" t="s">
        <v>2974</v>
      </c>
      <c r="W7" s="5" t="s">
        <v>2975</v>
      </c>
      <c r="X7" s="5" t="s">
        <v>2976</v>
      </c>
      <c r="Y7" s="6" t="s">
        <v>2977</v>
      </c>
    </row>
    <row r="8" spans="1:25" x14ac:dyDescent="0.25">
      <c r="A8" t="s">
        <v>37</v>
      </c>
      <c r="B8" t="str">
        <f>UPPER(Table2[[#This Row],[Brand]])</f>
        <v>MAISON ALHAMBRA</v>
      </c>
      <c r="C8" t="str">
        <f>LOWER(Table2[[#This Row],[Brand]])</f>
        <v>maison alhambra</v>
      </c>
      <c r="D8" t="str">
        <f>PROPER(Table2[[#This Row],[Brand]])</f>
        <v>Maison Alhambra</v>
      </c>
      <c r="E8" t="s">
        <v>4</v>
      </c>
      <c r="F8">
        <v>30.99</v>
      </c>
      <c r="G8" t="s">
        <v>38</v>
      </c>
      <c r="H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$30.99</v>
      </c>
      <c r="I8" t="str">
        <f>LEFT(Table2[[#This Row],[priceWithCurrency]],3)</f>
        <v xml:space="preserve">US </v>
      </c>
      <c r="J8">
        <v>9</v>
      </c>
      <c r="K8" t="str">
        <f>IF(Table2[[#This Row],[Available]]&lt;=50, "Less Stock", "Required stock" )</f>
        <v>Less Stock</v>
      </c>
      <c r="L8">
        <f t="shared" si="0"/>
        <v>2063.31</v>
      </c>
      <c r="M8" t="s">
        <v>39</v>
      </c>
      <c r="N8">
        <v>39</v>
      </c>
      <c r="O8" t="s">
        <v>40</v>
      </c>
      <c r="P8" t="str">
        <f>RIGHT(RIGHT(Table2[[#This Row],[last Updated]],12),4)</f>
        <v xml:space="preserve"> PDT</v>
      </c>
      <c r="Q8" t="s">
        <v>41</v>
      </c>
      <c r="S8" s="7">
        <f>SUM(Table2[PRICE])</f>
        <v>46481.199999999975</v>
      </c>
      <c r="T8" s="8">
        <f>AVERAGE(Table2[PRICE])</f>
        <v>46.481199999999973</v>
      </c>
      <c r="U8" s="8">
        <f>SUM(N2:N153)</f>
        <v>272856</v>
      </c>
      <c r="V8" s="8">
        <f>MIN(Table2[PRICE])</f>
        <v>3</v>
      </c>
      <c r="W8" s="8">
        <f>MAX(Table2[PRICE])</f>
        <v>259.08999999999997</v>
      </c>
      <c r="X8" s="8">
        <f>COUNTA(A2:A568)</f>
        <v>567</v>
      </c>
      <c r="Y8" s="9">
        <f>COUNT(Table2[Available])</f>
        <v>889</v>
      </c>
    </row>
    <row r="9" spans="1:25" ht="18" x14ac:dyDescent="0.25">
      <c r="A9" t="s">
        <v>14</v>
      </c>
      <c r="B9" t="str">
        <f>UPPER(Table2[[#This Row],[Brand]])</f>
        <v>UNBRANDED</v>
      </c>
      <c r="C9" t="str">
        <f>LOWER(Table2[[#This Row],[Brand]])</f>
        <v>unbranded</v>
      </c>
      <c r="D9" t="str">
        <f>PROPER(Table2[[#This Row],[Brand]])</f>
        <v>Unbranded</v>
      </c>
      <c r="E9" t="s">
        <v>4</v>
      </c>
      <c r="F9">
        <v>85</v>
      </c>
      <c r="G9" t="s">
        <v>42</v>
      </c>
      <c r="H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$85.00</v>
      </c>
      <c r="I9" t="str">
        <f>LEFT(Table2[[#This Row],[priceWithCurrency]],3)</f>
        <v xml:space="preserve">US </v>
      </c>
      <c r="K9" t="str">
        <f>IF(Table2[[#This Row],[Available]]&lt;=50, "Less Stock", "Required stock" )</f>
        <v>Less Stock</v>
      </c>
      <c r="L9">
        <f t="shared" si="0"/>
        <v>971.0200000000001</v>
      </c>
      <c r="M9" t="s">
        <v>43</v>
      </c>
      <c r="N9">
        <v>6</v>
      </c>
      <c r="O9" t="s">
        <v>44</v>
      </c>
      <c r="P9" t="str">
        <f>RIGHT(RIGHT(Table2[[#This Row],[last Updated]],12),4)</f>
        <v xml:space="preserve"> PDT</v>
      </c>
      <c r="Q9" t="s">
        <v>45</v>
      </c>
      <c r="S9" s="12" t="s">
        <v>2987</v>
      </c>
    </row>
    <row r="10" spans="1:25" ht="18" x14ac:dyDescent="0.25">
      <c r="A10" t="s">
        <v>14</v>
      </c>
      <c r="B10" t="str">
        <f>UPPER(Table2[[#This Row],[Brand]])</f>
        <v>UNBRANDED</v>
      </c>
      <c r="C10" t="str">
        <f>LOWER(Table2[[#This Row],[Brand]])</f>
        <v>unbranded</v>
      </c>
      <c r="D10" t="str">
        <f>PROPER(Table2[[#This Row],[Brand]])</f>
        <v>Unbranded</v>
      </c>
      <c r="E10" t="s">
        <v>46</v>
      </c>
      <c r="F10">
        <v>15.89</v>
      </c>
      <c r="G10" t="s">
        <v>47</v>
      </c>
      <c r="H1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$15.89</v>
      </c>
      <c r="I10" t="str">
        <f>LEFT(Table2[[#This Row],[priceWithCurrency]],3)</f>
        <v xml:space="preserve">US </v>
      </c>
      <c r="J10">
        <v>10</v>
      </c>
      <c r="K10" t="str">
        <f>IF(Table2[[#This Row],[Available]]&lt;=50, "Less Stock", "Required stock" )</f>
        <v>Less Stock</v>
      </c>
      <c r="L10">
        <f t="shared" si="0"/>
        <v>2100.2999999999997</v>
      </c>
      <c r="M10" t="s">
        <v>48</v>
      </c>
      <c r="N10">
        <v>17</v>
      </c>
      <c r="O10" t="s">
        <v>49</v>
      </c>
      <c r="P10" t="str">
        <f>RIGHT(RIGHT(Table2[[#This Row],[last Updated]],12),4)</f>
        <v xml:space="preserve"> PDT</v>
      </c>
      <c r="Q10" t="s">
        <v>50</v>
      </c>
      <c r="S10" s="2" t="s">
        <v>2979</v>
      </c>
    </row>
    <row r="11" spans="1:25" ht="18" x14ac:dyDescent="0.25">
      <c r="A11" t="s">
        <v>51</v>
      </c>
      <c r="B11" t="str">
        <f>UPPER(Table2[[#This Row],[Brand]])</f>
        <v>GUCCI</v>
      </c>
      <c r="C11" t="str">
        <f>LOWER(Table2[[#This Row],[Brand]])</f>
        <v>gucci</v>
      </c>
      <c r="D11" t="str">
        <f>PROPER(Table2[[#This Row],[Brand]])</f>
        <v>Gucci</v>
      </c>
      <c r="E11" t="s">
        <v>4</v>
      </c>
      <c r="F11">
        <v>49.99</v>
      </c>
      <c r="G11" t="s">
        <v>52</v>
      </c>
      <c r="H1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$49.99</v>
      </c>
      <c r="I11" t="str">
        <f>LEFT(Table2[[#This Row],[priceWithCurrency]],3)</f>
        <v xml:space="preserve">US </v>
      </c>
      <c r="J11">
        <v>8</v>
      </c>
      <c r="K11" t="str">
        <f>IF(Table2[[#This Row],[Available]]&lt;=50, "Less Stock", "Required stock" )</f>
        <v>Less Stock</v>
      </c>
      <c r="L11">
        <f t="shared" si="0"/>
        <v>2180.2899999999995</v>
      </c>
      <c r="M11" t="s">
        <v>53</v>
      </c>
      <c r="N11">
        <v>68</v>
      </c>
      <c r="O11" t="s">
        <v>54</v>
      </c>
      <c r="P11" t="str">
        <f>RIGHT(RIGHT(Table2[[#This Row],[last Updated]],12),4)</f>
        <v xml:space="preserve"> PDT</v>
      </c>
      <c r="Q11" t="s">
        <v>55</v>
      </c>
      <c r="S11" s="3" t="s">
        <v>2980</v>
      </c>
    </row>
    <row r="12" spans="1:25" ht="30" x14ac:dyDescent="0.25">
      <c r="A12" t="s">
        <v>56</v>
      </c>
      <c r="B12" t="str">
        <f>UPPER(Table2[[#This Row],[Brand]])</f>
        <v>RALPH LAUREN</v>
      </c>
      <c r="C12" t="str">
        <f>LOWER(Table2[[#This Row],[Brand]])</f>
        <v>ralph lauren</v>
      </c>
      <c r="D12" t="str">
        <f>PROPER(Table2[[#This Row],[Brand]])</f>
        <v>Ralph Lauren</v>
      </c>
      <c r="E12" t="s">
        <v>15</v>
      </c>
      <c r="F12">
        <v>34.99</v>
      </c>
      <c r="G12" t="s">
        <v>57</v>
      </c>
      <c r="H1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$34.99</v>
      </c>
      <c r="I12" t="str">
        <f>LEFT(Table2[[#This Row],[priceWithCurrency]],3)</f>
        <v xml:space="preserve">US </v>
      </c>
      <c r="J12">
        <v>10</v>
      </c>
      <c r="K12" t="str">
        <f>IF(Table2[[#This Row],[Available]]&lt;=50, "Less Stock", "Required stock" )</f>
        <v>Less Stock</v>
      </c>
      <c r="L12">
        <f t="shared" si="0"/>
        <v>892.57000000000016</v>
      </c>
      <c r="M12" t="s">
        <v>58</v>
      </c>
      <c r="N12">
        <v>615</v>
      </c>
      <c r="O12" t="s">
        <v>59</v>
      </c>
      <c r="P12" t="str">
        <f>RIGHT(RIGHT(Table2[[#This Row],[last Updated]],12),4)</f>
        <v xml:space="preserve"> PDT</v>
      </c>
      <c r="Q12" t="s">
        <v>60</v>
      </c>
      <c r="S12" s="10" t="s">
        <v>2982</v>
      </c>
      <c r="T12" s="13" t="s">
        <v>2983</v>
      </c>
    </row>
    <row r="13" spans="1:25" ht="30" x14ac:dyDescent="0.25">
      <c r="A13" t="s">
        <v>61</v>
      </c>
      <c r="B13" t="str">
        <f>UPPER(Table2[[#This Row],[Brand]])</f>
        <v>DOLCE&amp;GABBANA</v>
      </c>
      <c r="C13" t="str">
        <f>LOWER(Table2[[#This Row],[Brand]])</f>
        <v>dolce&amp;gabbana</v>
      </c>
      <c r="D13" t="str">
        <f>PROPER(Table2[[#This Row],[Brand]])</f>
        <v>Dolce&amp;Gabbana</v>
      </c>
      <c r="E13" t="s">
        <v>15</v>
      </c>
      <c r="F13">
        <v>29.95</v>
      </c>
      <c r="G13" t="s">
        <v>62</v>
      </c>
      <c r="H1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$29.95</v>
      </c>
      <c r="I13" t="str">
        <f>LEFT(Table2[[#This Row],[priceWithCurrency]],3)</f>
        <v xml:space="preserve">US </v>
      </c>
      <c r="J13">
        <v>7</v>
      </c>
      <c r="K13" t="str">
        <f>IF(Table2[[#This Row],[Available]]&lt;=50, "Less Stock", "Required stock" )</f>
        <v>Less Stock</v>
      </c>
      <c r="L13">
        <f t="shared" si="0"/>
        <v>892.57000000000016</v>
      </c>
      <c r="M13" t="s">
        <v>63</v>
      </c>
      <c r="N13">
        <v>458</v>
      </c>
      <c r="O13" t="s">
        <v>64</v>
      </c>
      <c r="P13" t="str">
        <f>RIGHT(RIGHT(Table2[[#This Row],[last Updated]],12),4)</f>
        <v xml:space="preserve"> PDT</v>
      </c>
      <c r="Q13" t="s">
        <v>65</v>
      </c>
      <c r="S13" s="11" t="s">
        <v>2984</v>
      </c>
      <c r="T13" s="14">
        <f>SUMIF(E2:E82,"Eau de Toilette",N2:N153)</f>
        <v>164709</v>
      </c>
    </row>
    <row r="14" spans="1:25" x14ac:dyDescent="0.25">
      <c r="A14" t="s">
        <v>66</v>
      </c>
      <c r="B14" t="str">
        <f>UPPER(Table2[[#This Row],[Brand]])</f>
        <v>SECERTMU</v>
      </c>
      <c r="C14" t="str">
        <f>LOWER(Table2[[#This Row],[Brand]])</f>
        <v>secertmu</v>
      </c>
      <c r="D14" t="str">
        <f>PROPER(Table2[[#This Row],[Brand]])</f>
        <v>Secertmu</v>
      </c>
      <c r="E14" t="s">
        <v>32</v>
      </c>
      <c r="F14">
        <v>15.99</v>
      </c>
      <c r="G14" t="s">
        <v>67</v>
      </c>
      <c r="H1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$15.99</v>
      </c>
      <c r="I14" t="str">
        <f>LEFT(Table2[[#This Row],[priceWithCurrency]],3)</f>
        <v xml:space="preserve">US </v>
      </c>
      <c r="J14">
        <v>10</v>
      </c>
      <c r="K14" t="str">
        <f>IF(Table2[[#This Row],[Available]]&lt;=50, "Less Stock", "Required stock" )</f>
        <v>Less Stock</v>
      </c>
      <c r="L14">
        <f t="shared" si="0"/>
        <v>262.51</v>
      </c>
      <c r="M14" t="s">
        <v>68</v>
      </c>
      <c r="N14">
        <v>889</v>
      </c>
      <c r="O14" t="s">
        <v>69</v>
      </c>
      <c r="P14" t="str">
        <f>RIGHT(RIGHT(Table2[[#This Row],[last Updated]],12),4)</f>
        <v xml:space="preserve"> PDT</v>
      </c>
      <c r="Q14" t="s">
        <v>70</v>
      </c>
      <c r="S14" s="10" t="s">
        <v>2985</v>
      </c>
      <c r="T14" s="14">
        <f>AVERAGEIF($E$2:$E$82,"Perfume",Table2[PRICE])</f>
        <v>15.190000000000001</v>
      </c>
    </row>
    <row r="15" spans="1:25" x14ac:dyDescent="0.25">
      <c r="A15" t="s">
        <v>71</v>
      </c>
      <c r="B15" t="str">
        <f>UPPER(Table2[[#This Row],[Brand]])</f>
        <v>AS SHOW</v>
      </c>
      <c r="C15" t="str">
        <f>LOWER(Table2[[#This Row],[Brand]])</f>
        <v>as show</v>
      </c>
      <c r="D15" t="str">
        <f>PROPER(Table2[[#This Row],[Brand]])</f>
        <v>As Show</v>
      </c>
      <c r="E15" t="s">
        <v>4</v>
      </c>
      <c r="F15">
        <v>59.99</v>
      </c>
      <c r="G15" t="s">
        <v>72</v>
      </c>
      <c r="H1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$59.99</v>
      </c>
      <c r="I15" t="str">
        <f>LEFT(Table2[[#This Row],[priceWithCurrency]],3)</f>
        <v xml:space="preserve">US </v>
      </c>
      <c r="J15">
        <v>9</v>
      </c>
      <c r="K15" t="str">
        <f>IF(Table2[[#This Row],[Available]]&lt;=50, "Less Stock", "Required stock" )</f>
        <v>Less Stock</v>
      </c>
      <c r="L15">
        <f t="shared" si="0"/>
        <v>2048.2800000000002</v>
      </c>
      <c r="M15" t="s">
        <v>73</v>
      </c>
      <c r="N15">
        <v>63</v>
      </c>
      <c r="O15" t="s">
        <v>74</v>
      </c>
      <c r="P15" t="str">
        <f>RIGHT(RIGHT(Table2[[#This Row],[last Updated]],12),4)</f>
        <v xml:space="preserve"> PDT</v>
      </c>
      <c r="Q15" t="s">
        <v>75</v>
      </c>
      <c r="S15" s="10" t="s">
        <v>2986</v>
      </c>
      <c r="T15" s="14">
        <f>AVERAGEIF($E$2:$E$82,"Fragrances",Table2[PRICE])</f>
        <v>25.218</v>
      </c>
    </row>
    <row r="16" spans="1:25" x14ac:dyDescent="0.25">
      <c r="A16" t="s">
        <v>76</v>
      </c>
      <c r="B16" t="str">
        <f>UPPER(Table2[[#This Row],[Brand]])</f>
        <v>VERSACE</v>
      </c>
      <c r="C16" t="str">
        <f>LOWER(Table2[[#This Row],[Brand]])</f>
        <v>versace</v>
      </c>
      <c r="D16" t="str">
        <f>PROPER(Table2[[#This Row],[Brand]])</f>
        <v>Versace</v>
      </c>
      <c r="E16" t="s">
        <v>15</v>
      </c>
      <c r="F16">
        <v>34.99</v>
      </c>
      <c r="G16" t="s">
        <v>57</v>
      </c>
      <c r="H1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$34.99</v>
      </c>
      <c r="I16" t="str">
        <f>LEFT(Table2[[#This Row],[priceWithCurrency]],3)</f>
        <v xml:space="preserve">US </v>
      </c>
      <c r="J16">
        <v>7</v>
      </c>
      <c r="K16" t="str">
        <f>IF(Table2[[#This Row],[Available]]&lt;=50, "Less Stock", "Required stock" )</f>
        <v>Less Stock</v>
      </c>
      <c r="L16">
        <f t="shared" si="0"/>
        <v>2048.2800000000002</v>
      </c>
      <c r="M16" t="s">
        <v>77</v>
      </c>
      <c r="N16">
        <v>136</v>
      </c>
      <c r="O16" t="s">
        <v>78</v>
      </c>
      <c r="P16" t="str">
        <f>RIGHT(RIGHT(Table2[[#This Row],[last Updated]],12),4)</f>
        <v xml:space="preserve"> PDT</v>
      </c>
      <c r="Q16" t="s">
        <v>65</v>
      </c>
    </row>
    <row r="17" spans="1:19" ht="18" x14ac:dyDescent="0.25">
      <c r="A17" t="s">
        <v>79</v>
      </c>
      <c r="B17" t="str">
        <f>UPPER(Table2[[#This Row],[Brand]])</f>
        <v>PACO RABANNE</v>
      </c>
      <c r="C17" t="str">
        <f>LOWER(Table2[[#This Row],[Brand]])</f>
        <v>paco rabanne</v>
      </c>
      <c r="D17" t="str">
        <f>PROPER(Table2[[#This Row],[Brand]])</f>
        <v>Paco Rabanne</v>
      </c>
      <c r="E17" t="s">
        <v>80</v>
      </c>
      <c r="F17">
        <v>68.989999999999995</v>
      </c>
      <c r="G17" t="s">
        <v>81</v>
      </c>
      <c r="H1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$68.99</v>
      </c>
      <c r="I17" t="str">
        <f>LEFT(Table2[[#This Row],[priceWithCurrency]],3)</f>
        <v xml:space="preserve">US </v>
      </c>
      <c r="J17">
        <v>2</v>
      </c>
      <c r="K17" t="str">
        <f>IF(Table2[[#This Row],[Available]]&lt;=50, "Less Stock", "Required stock" )</f>
        <v>Less Stock</v>
      </c>
      <c r="L17">
        <f t="shared" si="0"/>
        <v>2023.5800000000002</v>
      </c>
      <c r="M17" t="s">
        <v>82</v>
      </c>
      <c r="N17">
        <v>20</v>
      </c>
      <c r="O17" t="s">
        <v>83</v>
      </c>
      <c r="P17" t="str">
        <f>RIGHT(RIGHT(Table2[[#This Row],[last Updated]],12),4)</f>
        <v xml:space="preserve"> PDT</v>
      </c>
      <c r="Q17" t="s">
        <v>84</v>
      </c>
      <c r="S17" s="1" t="s">
        <v>2989</v>
      </c>
    </row>
    <row r="18" spans="1:19" ht="18" x14ac:dyDescent="0.25">
      <c r="A18" t="s">
        <v>85</v>
      </c>
      <c r="B18" t="str">
        <f>UPPER(Table2[[#This Row],[Brand]])</f>
        <v>GRANDEUR</v>
      </c>
      <c r="C18" t="str">
        <f>LOWER(Table2[[#This Row],[Brand]])</f>
        <v>grandeur</v>
      </c>
      <c r="D18" t="str">
        <f>PROPER(Table2[[#This Row],[Brand]])</f>
        <v>Grandeur</v>
      </c>
      <c r="E18" t="s">
        <v>4</v>
      </c>
      <c r="F18">
        <v>37.99</v>
      </c>
      <c r="G18" t="s">
        <v>86</v>
      </c>
      <c r="H1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$37.99</v>
      </c>
      <c r="I18" t="str">
        <f>LEFT(Table2[[#This Row],[priceWithCurrency]],3)</f>
        <v xml:space="preserve">US </v>
      </c>
      <c r="J18">
        <v>10</v>
      </c>
      <c r="K18" t="str">
        <f>IF(Table2[[#This Row],[Available]]&lt;=50, "Less Stock", "Required stock" )</f>
        <v>Less Stock</v>
      </c>
      <c r="L18">
        <f t="shared" si="0"/>
        <v>248.51999999999998</v>
      </c>
      <c r="M18" t="s">
        <v>87</v>
      </c>
      <c r="N18">
        <v>44</v>
      </c>
      <c r="O18" t="s">
        <v>88</v>
      </c>
      <c r="P18" t="str">
        <f>RIGHT(RIGHT(Table2[[#This Row],[last Updated]],12),4)</f>
        <v xml:space="preserve"> PDT</v>
      </c>
      <c r="Q18" t="s">
        <v>89</v>
      </c>
      <c r="S18" s="2" t="s">
        <v>2990</v>
      </c>
    </row>
    <row r="19" spans="1:19" ht="18" x14ac:dyDescent="0.25">
      <c r="A19" t="s">
        <v>90</v>
      </c>
      <c r="B19" t="str">
        <f>UPPER(Table2[[#This Row],[Brand]])</f>
        <v>ARMAF</v>
      </c>
      <c r="C19" t="str">
        <f>LOWER(Table2[[#This Row],[Brand]])</f>
        <v>armaf</v>
      </c>
      <c r="D19" t="str">
        <f>PROPER(Table2[[#This Row],[Brand]])</f>
        <v>Armaf</v>
      </c>
      <c r="E19" t="s">
        <v>15</v>
      </c>
      <c r="F19">
        <v>29.99</v>
      </c>
      <c r="G19" t="s">
        <v>91</v>
      </c>
      <c r="H1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$29.99</v>
      </c>
      <c r="I19" t="str">
        <f>LEFT(Table2[[#This Row],[priceWithCurrency]],3)</f>
        <v xml:space="preserve">US </v>
      </c>
      <c r="J19">
        <v>5</v>
      </c>
      <c r="K19" t="str">
        <f>IF(Table2[[#This Row],[Available]]&lt;=50, "Less Stock", "Required stock" )</f>
        <v>Less Stock</v>
      </c>
      <c r="L19">
        <f t="shared" si="0"/>
        <v>33.950000000000003</v>
      </c>
      <c r="M19" t="s">
        <v>92</v>
      </c>
      <c r="N19">
        <v>384</v>
      </c>
      <c r="O19" t="s">
        <v>93</v>
      </c>
      <c r="P19" t="str">
        <f>RIGHT(RIGHT(Table2[[#This Row],[last Updated]],12),4)</f>
        <v xml:space="preserve"> PDT</v>
      </c>
      <c r="Q19" t="s">
        <v>94</v>
      </c>
      <c r="S19" s="3" t="s">
        <v>2991</v>
      </c>
    </row>
    <row r="20" spans="1:19" x14ac:dyDescent="0.25">
      <c r="A20" t="s">
        <v>95</v>
      </c>
      <c r="B20" t="str">
        <f>UPPER(Table2[[#This Row],[Brand]])</f>
        <v>CAROLINA HERRERA</v>
      </c>
      <c r="C20" t="str">
        <f>LOWER(Table2[[#This Row],[Brand]])</f>
        <v>carolina herrera</v>
      </c>
      <c r="D20" t="str">
        <f>PROPER(Table2[[#This Row],[Brand]])</f>
        <v>Carolina Herrera</v>
      </c>
      <c r="E20" t="s">
        <v>15</v>
      </c>
      <c r="F20">
        <v>39.99</v>
      </c>
      <c r="G20" t="s">
        <v>96</v>
      </c>
      <c r="H2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$39.99</v>
      </c>
      <c r="I20" t="str">
        <f>LEFT(Table2[[#This Row],[priceWithCurrency]],3)</f>
        <v xml:space="preserve">US </v>
      </c>
      <c r="J20">
        <v>10</v>
      </c>
      <c r="K20" t="str">
        <f>IF(Table2[[#This Row],[Available]]&lt;=50, "Less Stock", "Required stock" )</f>
        <v>Less Stock</v>
      </c>
      <c r="L20">
        <f t="shared" si="0"/>
        <v>996.37000000000012</v>
      </c>
      <c r="M20" t="s">
        <v>97</v>
      </c>
      <c r="N20">
        <v>236</v>
      </c>
      <c r="O20" t="s">
        <v>98</v>
      </c>
      <c r="P20" t="str">
        <f>RIGHT(RIGHT(Table2[[#This Row],[last Updated]],12),4)</f>
        <v xml:space="preserve"> PDT</v>
      </c>
      <c r="Q20" t="s">
        <v>99</v>
      </c>
      <c r="S20" t="s">
        <v>2993</v>
      </c>
    </row>
    <row r="21" spans="1:19" x14ac:dyDescent="0.25">
      <c r="A21" t="s">
        <v>3</v>
      </c>
      <c r="B21" t="str">
        <f>UPPER(Table2[[#This Row],[Brand]])</f>
        <v>DIOR</v>
      </c>
      <c r="C21" t="str">
        <f>LOWER(Table2[[#This Row],[Brand]])</f>
        <v>dior</v>
      </c>
      <c r="D21" t="str">
        <f>PROPER(Table2[[#This Row],[Brand]])</f>
        <v>Dior</v>
      </c>
      <c r="E21" t="s">
        <v>15</v>
      </c>
      <c r="F21">
        <v>83.95</v>
      </c>
      <c r="G21" t="s">
        <v>100</v>
      </c>
      <c r="H2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$83.95</v>
      </c>
      <c r="I21" t="str">
        <f>LEFT(Table2[[#This Row],[priceWithCurrency]],3)</f>
        <v xml:space="preserve">US </v>
      </c>
      <c r="J21">
        <v>4</v>
      </c>
      <c r="K21" t="str">
        <f>IF(Table2[[#This Row],[Available]]&lt;=50, "Less Stock", "Required stock" )</f>
        <v>Less Stock</v>
      </c>
      <c r="L21">
        <f t="shared" si="0"/>
        <v>49.96</v>
      </c>
      <c r="M21" t="s">
        <v>101</v>
      </c>
      <c r="N21">
        <v>22</v>
      </c>
      <c r="O21" t="s">
        <v>102</v>
      </c>
      <c r="P21" t="str">
        <f>RIGHT(RIGHT(Table2[[#This Row],[last Updated]],12),4)</f>
        <v xml:space="preserve"> PDT</v>
      </c>
      <c r="Q21" t="s">
        <v>103</v>
      </c>
      <c r="S21" t="s">
        <v>2995</v>
      </c>
    </row>
    <row r="22" spans="1:19" x14ac:dyDescent="0.25">
      <c r="A22" t="s">
        <v>104</v>
      </c>
      <c r="B22" t="str">
        <f>UPPER(Table2[[#This Row],[Brand]])</f>
        <v>DOLCE &amp; GABBANA</v>
      </c>
      <c r="C22" t="str">
        <f>LOWER(Table2[[#This Row],[Brand]])</f>
        <v>dolce &amp; gabbana</v>
      </c>
      <c r="D22" t="str">
        <f>PROPER(Table2[[#This Row],[Brand]])</f>
        <v>Dolce &amp; Gabbana</v>
      </c>
      <c r="E22" t="s">
        <v>15</v>
      </c>
      <c r="F22">
        <v>29.94</v>
      </c>
      <c r="G22" t="s">
        <v>105</v>
      </c>
      <c r="H2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$29.94</v>
      </c>
      <c r="I22" t="str">
        <f>LEFT(Table2[[#This Row],[priceWithCurrency]],3)</f>
        <v xml:space="preserve">US </v>
      </c>
      <c r="K22" t="str">
        <f>IF(Table2[[#This Row],[Available]]&lt;=50, "Less Stock", "Required stock" )</f>
        <v>Less Stock</v>
      </c>
      <c r="L22">
        <f t="shared" si="0"/>
        <v>1021.8600000000001</v>
      </c>
      <c r="M22" t="s">
        <v>106</v>
      </c>
      <c r="N22">
        <v>9208</v>
      </c>
      <c r="O22" t="s">
        <v>107</v>
      </c>
      <c r="P22" t="str">
        <f>RIGHT(RIGHT(Table2[[#This Row],[last Updated]],12),4)</f>
        <v xml:space="preserve"> PDT</v>
      </c>
      <c r="Q22" t="s">
        <v>108</v>
      </c>
      <c r="S22" t="s">
        <v>3000</v>
      </c>
    </row>
    <row r="23" spans="1:19" x14ac:dyDescent="0.25">
      <c r="A23" t="s">
        <v>109</v>
      </c>
      <c r="B23" t="str">
        <f>UPPER(Table2[[#This Row],[Brand]])</f>
        <v>CLINIQUE</v>
      </c>
      <c r="C23" t="str">
        <f>LOWER(Table2[[#This Row],[Brand]])</f>
        <v>clinique</v>
      </c>
      <c r="D23" t="str">
        <f>PROPER(Table2[[#This Row],[Brand]])</f>
        <v>Clinique</v>
      </c>
      <c r="E23" t="s">
        <v>15</v>
      </c>
      <c r="F23">
        <v>21.99</v>
      </c>
      <c r="G23" t="s">
        <v>110</v>
      </c>
      <c r="H2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$21.99</v>
      </c>
      <c r="I23" t="str">
        <f>LEFT(Table2[[#This Row],[priceWithCurrency]],3)</f>
        <v xml:space="preserve">US </v>
      </c>
      <c r="J23">
        <v>4</v>
      </c>
      <c r="K23" t="str">
        <f>IF(Table2[[#This Row],[Available]]&lt;=50, "Less Stock", "Required stock" )</f>
        <v>Less Stock</v>
      </c>
      <c r="L23">
        <f t="shared" si="0"/>
        <v>2088.02</v>
      </c>
      <c r="M23" t="s">
        <v>111</v>
      </c>
      <c r="N23">
        <v>86</v>
      </c>
      <c r="O23" t="s">
        <v>112</v>
      </c>
      <c r="P23" t="str">
        <f>RIGHT(RIGHT(Table2[[#This Row],[last Updated]],12),4)</f>
        <v xml:space="preserve"> PDT</v>
      </c>
      <c r="Q23" t="s">
        <v>89</v>
      </c>
    </row>
    <row r="24" spans="1:19" x14ac:dyDescent="0.25">
      <c r="A24" t="s">
        <v>113</v>
      </c>
      <c r="B24" t="str">
        <f>UPPER(Table2[[#This Row],[Brand]])</f>
        <v>DUMONT</v>
      </c>
      <c r="C24" t="str">
        <f>LOWER(Table2[[#This Row],[Brand]])</f>
        <v>dumont</v>
      </c>
      <c r="D24" t="str">
        <f>PROPER(Table2[[#This Row],[Brand]])</f>
        <v>Dumont</v>
      </c>
      <c r="E24" t="s">
        <v>26</v>
      </c>
      <c r="F24">
        <v>49.99</v>
      </c>
      <c r="G24" t="s">
        <v>114</v>
      </c>
      <c r="H2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$49.99</v>
      </c>
      <c r="I24" t="str">
        <f>LEFT(Table2[[#This Row],[priceWithCurrency]],3)</f>
        <v xml:space="preserve">US </v>
      </c>
      <c r="J24">
        <v>3</v>
      </c>
      <c r="K24" t="str">
        <f>IF(Table2[[#This Row],[Available]]&lt;=50, "Less Stock", "Required stock" )</f>
        <v>Less Stock</v>
      </c>
      <c r="L24">
        <f t="shared" si="0"/>
        <v>188.73000000000002</v>
      </c>
      <c r="M24" t="s">
        <v>115</v>
      </c>
      <c r="N24">
        <v>187</v>
      </c>
      <c r="O24" t="s">
        <v>116</v>
      </c>
      <c r="P24" t="str">
        <f>RIGHT(RIGHT(Table2[[#This Row],[last Updated]],12),4)</f>
        <v xml:space="preserve"> PDT</v>
      </c>
      <c r="Q24" t="s">
        <v>30</v>
      </c>
    </row>
    <row r="25" spans="1:19" x14ac:dyDescent="0.25">
      <c r="A25" t="s">
        <v>117</v>
      </c>
      <c r="B25" t="str">
        <f>UPPER(Table2[[#This Row],[Brand]])</f>
        <v>AFNAN</v>
      </c>
      <c r="C25" t="str">
        <f>LOWER(Table2[[#This Row],[Brand]])</f>
        <v>afnan</v>
      </c>
      <c r="D25" t="str">
        <f>PROPER(Table2[[#This Row],[Brand]])</f>
        <v>Afnan</v>
      </c>
      <c r="E25" t="s">
        <v>4</v>
      </c>
      <c r="F25">
        <v>33.700000000000003</v>
      </c>
      <c r="G25" t="s">
        <v>118</v>
      </c>
      <c r="H2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$33.70</v>
      </c>
      <c r="I25" t="str">
        <f>LEFT(Table2[[#This Row],[priceWithCurrency]],3)</f>
        <v xml:space="preserve">US </v>
      </c>
      <c r="J25">
        <v>10</v>
      </c>
      <c r="K25" t="str">
        <f>IF(Table2[[#This Row],[Available]]&lt;=50, "Less Stock", "Required stock" )</f>
        <v>Less Stock</v>
      </c>
      <c r="L25">
        <f t="shared" si="0"/>
        <v>2056.94</v>
      </c>
      <c r="M25" t="s">
        <v>119</v>
      </c>
      <c r="N25">
        <v>131</v>
      </c>
      <c r="O25" t="s">
        <v>120</v>
      </c>
      <c r="P25" t="str">
        <f>RIGHT(RIGHT(Table2[[#This Row],[last Updated]],12),4)</f>
        <v xml:space="preserve"> PDT</v>
      </c>
      <c r="Q25" t="s">
        <v>121</v>
      </c>
    </row>
    <row r="26" spans="1:19" x14ac:dyDescent="0.25">
      <c r="A26" t="s">
        <v>76</v>
      </c>
      <c r="B26" t="str">
        <f>UPPER(Table2[[#This Row],[Brand]])</f>
        <v>VERSACE</v>
      </c>
      <c r="C26" t="str">
        <f>LOWER(Table2[[#This Row],[Brand]])</f>
        <v>versace</v>
      </c>
      <c r="D26" t="str">
        <f>PROPER(Table2[[#This Row],[Brand]])</f>
        <v>Versace</v>
      </c>
      <c r="E26" t="s">
        <v>15</v>
      </c>
      <c r="F26">
        <v>35.99</v>
      </c>
      <c r="G26" t="s">
        <v>122</v>
      </c>
      <c r="H2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$35.99</v>
      </c>
      <c r="I26" t="str">
        <f>LEFT(Table2[[#This Row],[priceWithCurrency]],3)</f>
        <v xml:space="preserve">US </v>
      </c>
      <c r="J26">
        <v>2</v>
      </c>
      <c r="K26" t="str">
        <f>IF(Table2[[#This Row],[Available]]&lt;=50, "Less Stock", "Required stock" )</f>
        <v>Less Stock</v>
      </c>
      <c r="L26">
        <f t="shared" si="0"/>
        <v>1106.8500000000001</v>
      </c>
      <c r="M26" t="s">
        <v>123</v>
      </c>
      <c r="N26">
        <v>43</v>
      </c>
      <c r="O26" t="s">
        <v>124</v>
      </c>
      <c r="P26" t="str">
        <f>RIGHT(RIGHT(Table2[[#This Row],[last Updated]],12),4)</f>
        <v xml:space="preserve"> PDT</v>
      </c>
      <c r="Q26" t="s">
        <v>125</v>
      </c>
    </row>
    <row r="27" spans="1:19" x14ac:dyDescent="0.25">
      <c r="A27" t="s">
        <v>126</v>
      </c>
      <c r="B27" t="str">
        <f>UPPER(Table2[[#This Row],[Brand]])</f>
        <v>AZZARO</v>
      </c>
      <c r="C27" t="str">
        <f>LOWER(Table2[[#This Row],[Brand]])</f>
        <v>azzaro</v>
      </c>
      <c r="D27" t="str">
        <f>PROPER(Table2[[#This Row],[Brand]])</f>
        <v>Azzaro</v>
      </c>
      <c r="E27" t="s">
        <v>127</v>
      </c>
      <c r="F27">
        <v>89.97</v>
      </c>
      <c r="G27" t="s">
        <v>128</v>
      </c>
      <c r="H2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$89.97</v>
      </c>
      <c r="I27" t="str">
        <f>LEFT(Table2[[#This Row],[priceWithCurrency]],3)</f>
        <v xml:space="preserve">US </v>
      </c>
      <c r="J27">
        <v>10</v>
      </c>
      <c r="K27" t="str">
        <f>IF(Table2[[#This Row],[Available]]&lt;=50, "Less Stock", "Required stock" )</f>
        <v>Less Stock</v>
      </c>
      <c r="L27">
        <f t="shared" si="0"/>
        <v>2030.9500000000003</v>
      </c>
      <c r="M27" t="s">
        <v>129</v>
      </c>
      <c r="N27">
        <v>920</v>
      </c>
      <c r="O27" t="s">
        <v>130</v>
      </c>
      <c r="P27" t="str">
        <f>RIGHT(RIGHT(Table2[[#This Row],[last Updated]],12),4)</f>
        <v xml:space="preserve"> PDT</v>
      </c>
      <c r="Q27" t="s">
        <v>131</v>
      </c>
    </row>
    <row r="28" spans="1:19" x14ac:dyDescent="0.25">
      <c r="A28" t="s">
        <v>14</v>
      </c>
      <c r="B28" t="str">
        <f>UPPER(Table2[[#This Row],[Brand]])</f>
        <v>UNBRANDED</v>
      </c>
      <c r="C28" t="str">
        <f>LOWER(Table2[[#This Row],[Brand]])</f>
        <v>unbranded</v>
      </c>
      <c r="D28" t="str">
        <f>PROPER(Table2[[#This Row],[Brand]])</f>
        <v>Unbranded</v>
      </c>
      <c r="E28" t="s">
        <v>4</v>
      </c>
      <c r="F28">
        <v>92.99</v>
      </c>
      <c r="G28" t="s">
        <v>132</v>
      </c>
      <c r="H2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$92.99</v>
      </c>
      <c r="I28" t="str">
        <f>LEFT(Table2[[#This Row],[priceWithCurrency]],3)</f>
        <v xml:space="preserve">US </v>
      </c>
      <c r="J28">
        <v>5</v>
      </c>
      <c r="K28" t="str">
        <f>IF(Table2[[#This Row],[Available]]&lt;=50, "Less Stock", "Required stock" )</f>
        <v>Less Stock</v>
      </c>
      <c r="L28">
        <f t="shared" si="0"/>
        <v>2048.94</v>
      </c>
      <c r="M28" t="s">
        <v>133</v>
      </c>
      <c r="N28">
        <v>19</v>
      </c>
      <c r="O28" t="s">
        <v>134</v>
      </c>
      <c r="P28" t="str">
        <f>RIGHT(RIGHT(Table2[[#This Row],[last Updated]],12),4)</f>
        <v xml:space="preserve"> PDT</v>
      </c>
      <c r="Q28" t="s">
        <v>135</v>
      </c>
    </row>
    <row r="29" spans="1:19" x14ac:dyDescent="0.25">
      <c r="A29" t="s">
        <v>126</v>
      </c>
      <c r="B29" t="str">
        <f>UPPER(Table2[[#This Row],[Brand]])</f>
        <v>AZZARO</v>
      </c>
      <c r="C29" t="str">
        <f>LOWER(Table2[[#This Row],[Brand]])</f>
        <v>azzaro</v>
      </c>
      <c r="D29" t="str">
        <f>PROPER(Table2[[#This Row],[Brand]])</f>
        <v>Azzaro</v>
      </c>
      <c r="E29" t="s">
        <v>4</v>
      </c>
      <c r="F29">
        <v>87.99</v>
      </c>
      <c r="G29" t="s">
        <v>136</v>
      </c>
      <c r="H2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$87.99</v>
      </c>
      <c r="I29" t="str">
        <f>LEFT(Table2[[#This Row],[priceWithCurrency]],3)</f>
        <v xml:space="preserve">US </v>
      </c>
      <c r="J29">
        <v>2</v>
      </c>
      <c r="K29" t="str">
        <f>IF(Table2[[#This Row],[Available]]&lt;=50, "Less Stock", "Required stock" )</f>
        <v>Less Stock</v>
      </c>
      <c r="L29">
        <f t="shared" si="0"/>
        <v>2084.9299999999998</v>
      </c>
      <c r="M29" t="s">
        <v>137</v>
      </c>
      <c r="N29">
        <v>4</v>
      </c>
      <c r="P29" t="str">
        <f>RIGHT(RIGHT(Table2[[#This Row],[last Updated]],12),4)</f>
        <v/>
      </c>
      <c r="Q29" t="s">
        <v>138</v>
      </c>
    </row>
    <row r="30" spans="1:19" x14ac:dyDescent="0.25">
      <c r="A30" t="s">
        <v>20</v>
      </c>
      <c r="B30" t="str">
        <f>UPPER(Table2[[#This Row],[Brand]])</f>
        <v>GIORGIO ARMANI</v>
      </c>
      <c r="C30" t="str">
        <f>LOWER(Table2[[#This Row],[Brand]])</f>
        <v>giorgio armani</v>
      </c>
      <c r="D30" t="str">
        <f>PROPER(Table2[[#This Row],[Brand]])</f>
        <v>Giorgio Armani</v>
      </c>
      <c r="E30" t="s">
        <v>4</v>
      </c>
      <c r="F30">
        <v>119.99</v>
      </c>
      <c r="G30" t="s">
        <v>139</v>
      </c>
      <c r="H3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$119.99</v>
      </c>
      <c r="I30" t="str">
        <f>LEFT(Table2[[#This Row],[priceWithCurrency]],3)</f>
        <v xml:space="preserve">US </v>
      </c>
      <c r="J30">
        <v>10</v>
      </c>
      <c r="K30" t="str">
        <f>IF(Table2[[#This Row],[Available]]&lt;=50, "Less Stock", "Required stock" )</f>
        <v>Less Stock</v>
      </c>
      <c r="L30">
        <f t="shared" si="0"/>
        <v>2104.9299999999998</v>
      </c>
      <c r="M30" t="s">
        <v>140</v>
      </c>
      <c r="N30">
        <v>34</v>
      </c>
      <c r="O30" t="s">
        <v>141</v>
      </c>
      <c r="P30" t="str">
        <f>RIGHT(RIGHT(Table2[[#This Row],[last Updated]],12),4)</f>
        <v xml:space="preserve"> PDT</v>
      </c>
      <c r="Q30" t="s">
        <v>142</v>
      </c>
    </row>
    <row r="31" spans="1:19" x14ac:dyDescent="0.25">
      <c r="A31" t="s">
        <v>143</v>
      </c>
      <c r="B31" t="str">
        <f>UPPER(Table2[[#This Row],[Brand]])</f>
        <v>PENHALIGON'S</v>
      </c>
      <c r="C31" t="str">
        <f>LOWER(Table2[[#This Row],[Brand]])</f>
        <v>penhaligon's</v>
      </c>
      <c r="D31" t="str">
        <f>PROPER(Table2[[#This Row],[Brand]])</f>
        <v>Penhaligon'S</v>
      </c>
      <c r="E31" t="s">
        <v>4</v>
      </c>
      <c r="F31">
        <v>99.99</v>
      </c>
      <c r="G31" t="s">
        <v>144</v>
      </c>
      <c r="H3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$99.99</v>
      </c>
      <c r="I31" t="str">
        <f>LEFT(Table2[[#This Row],[priceWithCurrency]],3)</f>
        <v xml:space="preserve">US </v>
      </c>
      <c r="K31" t="str">
        <f>IF(Table2[[#This Row],[Available]]&lt;=50, "Less Stock", "Required stock" )</f>
        <v>Less Stock</v>
      </c>
      <c r="L31">
        <f t="shared" si="0"/>
        <v>164.3</v>
      </c>
      <c r="M31" t="s">
        <v>145</v>
      </c>
      <c r="N31">
        <v>30</v>
      </c>
      <c r="O31" t="s">
        <v>146</v>
      </c>
      <c r="P31" t="str">
        <f>RIGHT(RIGHT(Table2[[#This Row],[last Updated]],12),4)</f>
        <v xml:space="preserve"> PDT</v>
      </c>
      <c r="Q31" t="s">
        <v>147</v>
      </c>
    </row>
    <row r="32" spans="1:19" x14ac:dyDescent="0.25">
      <c r="A32" t="s">
        <v>148</v>
      </c>
      <c r="B32" t="str">
        <f>UPPER(Table2[[#This Row],[Brand]])</f>
        <v>BHARARA</v>
      </c>
      <c r="C32" t="str">
        <f>LOWER(Table2[[#This Row],[Brand]])</f>
        <v>bharara</v>
      </c>
      <c r="D32" t="str">
        <f>PROPER(Table2[[#This Row],[Brand]])</f>
        <v>Bharara</v>
      </c>
      <c r="E32" t="s">
        <v>4</v>
      </c>
      <c r="F32">
        <v>51.91</v>
      </c>
      <c r="G32" t="s">
        <v>149</v>
      </c>
      <c r="H3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$51.91</v>
      </c>
      <c r="I32" t="str">
        <f>LEFT(Table2[[#This Row],[priceWithCurrency]],3)</f>
        <v xml:space="preserve">US </v>
      </c>
      <c r="J32">
        <v>4</v>
      </c>
      <c r="K32" t="str">
        <f>IF(Table2[[#This Row],[Available]]&lt;=50, "Less Stock", "Required stock" )</f>
        <v>Less Stock</v>
      </c>
      <c r="L32">
        <f t="shared" si="0"/>
        <v>2187.9199999999996</v>
      </c>
      <c r="M32" t="s">
        <v>150</v>
      </c>
      <c r="N32">
        <v>47</v>
      </c>
      <c r="O32" t="s">
        <v>151</v>
      </c>
      <c r="P32" t="str">
        <f>RIGHT(RIGHT(Table2[[#This Row],[last Updated]],12),4)</f>
        <v xml:space="preserve"> PDT</v>
      </c>
      <c r="Q32" t="s">
        <v>152</v>
      </c>
    </row>
    <row r="33" spans="1:17" x14ac:dyDescent="0.25">
      <c r="A33" t="s">
        <v>79</v>
      </c>
      <c r="B33" t="str">
        <f>UPPER(Table2[[#This Row],[Brand]])</f>
        <v>PACO RABANNE</v>
      </c>
      <c r="C33" t="str">
        <f>LOWER(Table2[[#This Row],[Brand]])</f>
        <v>paco rabanne</v>
      </c>
      <c r="D33" t="str">
        <f>PROPER(Table2[[#This Row],[Brand]])</f>
        <v>Paco Rabanne</v>
      </c>
      <c r="E33" t="s">
        <v>15</v>
      </c>
      <c r="F33">
        <v>49.99</v>
      </c>
      <c r="G33" t="s">
        <v>52</v>
      </c>
      <c r="H3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$49.99</v>
      </c>
      <c r="I33" t="str">
        <f>LEFT(Table2[[#This Row],[priceWithCurrency]],3)</f>
        <v xml:space="preserve">US </v>
      </c>
      <c r="J33">
        <v>8</v>
      </c>
      <c r="K33" t="str">
        <f>IF(Table2[[#This Row],[Available]]&lt;=50, "Less Stock", "Required stock" )</f>
        <v>Less Stock</v>
      </c>
      <c r="L33">
        <f t="shared" si="0"/>
        <v>2220.9099999999994</v>
      </c>
      <c r="M33" t="s">
        <v>153</v>
      </c>
      <c r="N33">
        <v>170</v>
      </c>
      <c r="O33" t="s">
        <v>154</v>
      </c>
      <c r="P33" t="str">
        <f>RIGHT(RIGHT(Table2[[#This Row],[last Updated]],12),4)</f>
        <v xml:space="preserve"> PDT</v>
      </c>
      <c r="Q33" t="s">
        <v>155</v>
      </c>
    </row>
    <row r="34" spans="1:17" x14ac:dyDescent="0.25">
      <c r="A34" t="s">
        <v>90</v>
      </c>
      <c r="B34" t="str">
        <f>UPPER(Table2[[#This Row],[Brand]])</f>
        <v>ARMAF</v>
      </c>
      <c r="C34" t="str">
        <f>LOWER(Table2[[#This Row],[Brand]])</f>
        <v>armaf</v>
      </c>
      <c r="D34" t="str">
        <f>PROPER(Table2[[#This Row],[Brand]])</f>
        <v>Armaf</v>
      </c>
      <c r="E34" t="s">
        <v>15</v>
      </c>
      <c r="F34">
        <v>32.85</v>
      </c>
      <c r="G34" t="s">
        <v>156</v>
      </c>
      <c r="H3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$32.85</v>
      </c>
      <c r="I34" t="str">
        <f>LEFT(Table2[[#This Row],[priceWithCurrency]],3)</f>
        <v xml:space="preserve">US </v>
      </c>
      <c r="J34">
        <v>10</v>
      </c>
      <c r="K34" t="str">
        <f>IF(Table2[[#This Row],[Available]]&lt;=50, "Less Stock", "Required stock" )</f>
        <v>Less Stock</v>
      </c>
      <c r="L34">
        <f t="shared" si="0"/>
        <v>2183.1099999999997</v>
      </c>
      <c r="M34" t="s">
        <v>157</v>
      </c>
      <c r="N34">
        <v>8385</v>
      </c>
      <c r="O34" t="s">
        <v>158</v>
      </c>
      <c r="P34" t="str">
        <f>RIGHT(RIGHT(Table2[[#This Row],[last Updated]],12),4)</f>
        <v xml:space="preserve"> PDT</v>
      </c>
      <c r="Q34" t="s">
        <v>36</v>
      </c>
    </row>
    <row r="35" spans="1:17" x14ac:dyDescent="0.25">
      <c r="A35" t="s">
        <v>159</v>
      </c>
      <c r="B35" t="str">
        <f>UPPER(Table2[[#This Row],[Brand]])</f>
        <v>VALENTINO</v>
      </c>
      <c r="C35" t="str">
        <f>LOWER(Table2[[#This Row],[Brand]])</f>
        <v>valentino</v>
      </c>
      <c r="D35" t="str">
        <f>PROPER(Table2[[#This Row],[Brand]])</f>
        <v>Valentino</v>
      </c>
      <c r="E35" t="s">
        <v>15</v>
      </c>
      <c r="F35">
        <v>89.97</v>
      </c>
      <c r="G35" t="s">
        <v>128</v>
      </c>
      <c r="H3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$89.97</v>
      </c>
      <c r="I35" t="str">
        <f>LEFT(Table2[[#This Row],[priceWithCurrency]],3)</f>
        <v xml:space="preserve">US </v>
      </c>
      <c r="J35">
        <v>10</v>
      </c>
      <c r="K35" t="str">
        <f>IF(Table2[[#This Row],[Available]]&lt;=50, "Less Stock", "Required stock" )</f>
        <v>Less Stock</v>
      </c>
      <c r="L35">
        <f t="shared" si="0"/>
        <v>2159.5500000000002</v>
      </c>
      <c r="M35" t="s">
        <v>160</v>
      </c>
      <c r="N35">
        <v>295</v>
      </c>
      <c r="O35" t="s">
        <v>161</v>
      </c>
      <c r="P35" t="str">
        <f>RIGHT(RIGHT(Table2[[#This Row],[last Updated]],12),4)</f>
        <v xml:space="preserve"> PDT</v>
      </c>
      <c r="Q35" t="s">
        <v>131</v>
      </c>
    </row>
    <row r="36" spans="1:17" x14ac:dyDescent="0.25">
      <c r="A36" t="s">
        <v>162</v>
      </c>
      <c r="B36" t="str">
        <f>UPPER(Table2[[#This Row],[Brand]])</f>
        <v>GUY LAROCHE</v>
      </c>
      <c r="C36" t="str">
        <f>LOWER(Table2[[#This Row],[Brand]])</f>
        <v>guy laroche</v>
      </c>
      <c r="D36" t="str">
        <f>PROPER(Table2[[#This Row],[Brand]])</f>
        <v>Guy Laroche</v>
      </c>
      <c r="E36" t="s">
        <v>15</v>
      </c>
      <c r="F36">
        <v>16.98</v>
      </c>
      <c r="G36" t="s">
        <v>163</v>
      </c>
      <c r="H3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$16.98</v>
      </c>
      <c r="I36" t="str">
        <f>LEFT(Table2[[#This Row],[priceWithCurrency]],3)</f>
        <v xml:space="preserve">US </v>
      </c>
      <c r="J36">
        <v>620</v>
      </c>
      <c r="K36" t="str">
        <f>IF(Table2[[#This Row],[Available]]&lt;=50, "Less Stock", "Required stock" )</f>
        <v>Required stock</v>
      </c>
      <c r="L36">
        <f t="shared" si="0"/>
        <v>2171.9499999999998</v>
      </c>
      <c r="M36" t="s">
        <v>164</v>
      </c>
      <c r="N36">
        <v>2345</v>
      </c>
      <c r="O36" t="s">
        <v>165</v>
      </c>
      <c r="P36" t="str">
        <f>RIGHT(RIGHT(Table2[[#This Row],[last Updated]],12),4)</f>
        <v xml:space="preserve"> PDT</v>
      </c>
      <c r="Q36" t="s">
        <v>121</v>
      </c>
    </row>
    <row r="37" spans="1:17" x14ac:dyDescent="0.25">
      <c r="A37" t="s">
        <v>166</v>
      </c>
      <c r="B37" t="str">
        <f>UPPER(Table2[[#This Row],[Brand]])</f>
        <v>MONTBLANC</v>
      </c>
      <c r="C37" t="str">
        <f>LOWER(Table2[[#This Row],[Brand]])</f>
        <v>montblanc</v>
      </c>
      <c r="D37" t="str">
        <f>PROPER(Table2[[#This Row],[Brand]])</f>
        <v>Montblanc</v>
      </c>
      <c r="E37" t="s">
        <v>15</v>
      </c>
      <c r="F37">
        <v>32.89</v>
      </c>
      <c r="G37" t="s">
        <v>167</v>
      </c>
      <c r="H3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$32.89</v>
      </c>
      <c r="I37" t="str">
        <f>LEFT(Table2[[#This Row],[priceWithCurrency]],3)</f>
        <v xml:space="preserve">US </v>
      </c>
      <c r="J37">
        <v>383</v>
      </c>
      <c r="K37" t="str">
        <f>IF(Table2[[#This Row],[Available]]&lt;=50, "Less Stock", "Required stock" )</f>
        <v>Required stock</v>
      </c>
      <c r="L37">
        <f t="shared" si="0"/>
        <v>1049.28</v>
      </c>
      <c r="M37" t="s">
        <v>168</v>
      </c>
      <c r="N37">
        <v>5032</v>
      </c>
      <c r="O37" t="s">
        <v>169</v>
      </c>
      <c r="P37" t="str">
        <f>RIGHT(RIGHT(Table2[[#This Row],[last Updated]],12),4)</f>
        <v xml:space="preserve"> PDT</v>
      </c>
      <c r="Q37" t="s">
        <v>121</v>
      </c>
    </row>
    <row r="38" spans="1:17" x14ac:dyDescent="0.25">
      <c r="A38" t="s">
        <v>170</v>
      </c>
      <c r="B38" t="str">
        <f>UPPER(Table2[[#This Row],[Brand]])</f>
        <v>RASASI</v>
      </c>
      <c r="C38" t="str">
        <f>LOWER(Table2[[#This Row],[Brand]])</f>
        <v>rasasi</v>
      </c>
      <c r="D38" t="str">
        <f>PROPER(Table2[[#This Row],[Brand]])</f>
        <v>Rasasi</v>
      </c>
      <c r="E38" t="s">
        <v>4</v>
      </c>
      <c r="F38">
        <v>45.11</v>
      </c>
      <c r="G38" t="s">
        <v>171</v>
      </c>
      <c r="H3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$45.11</v>
      </c>
      <c r="I38" t="str">
        <f>LEFT(Table2[[#This Row],[priceWithCurrency]],3)</f>
        <v xml:space="preserve">US </v>
      </c>
      <c r="K38" t="str">
        <f>IF(Table2[[#This Row],[Available]]&lt;=50, "Less Stock", "Required stock" )</f>
        <v>Less Stock</v>
      </c>
      <c r="L38">
        <f t="shared" si="0"/>
        <v>327.36</v>
      </c>
      <c r="M38" t="s">
        <v>172</v>
      </c>
      <c r="N38">
        <v>258</v>
      </c>
      <c r="O38" t="s">
        <v>173</v>
      </c>
      <c r="P38" t="str">
        <f>RIGHT(RIGHT(Table2[[#This Row],[last Updated]],12),4)</f>
        <v xml:space="preserve"> PDT</v>
      </c>
      <c r="Q38" t="s">
        <v>30</v>
      </c>
    </row>
    <row r="39" spans="1:17" x14ac:dyDescent="0.25">
      <c r="A39" t="s">
        <v>37</v>
      </c>
      <c r="B39" t="str">
        <f>UPPER(Table2[[#This Row],[Brand]])</f>
        <v>MAISON ALHAMBRA</v>
      </c>
      <c r="C39" t="str">
        <f>LOWER(Table2[[#This Row],[Brand]])</f>
        <v>maison alhambra</v>
      </c>
      <c r="D39" t="str">
        <f>PROPER(Table2[[#This Row],[Brand]])</f>
        <v>Maison Alhambra</v>
      </c>
      <c r="E39" t="s">
        <v>26</v>
      </c>
      <c r="F39">
        <v>19.73</v>
      </c>
      <c r="G39" t="s">
        <v>174</v>
      </c>
      <c r="H3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$19.73</v>
      </c>
      <c r="I39" t="str">
        <f>LEFT(Table2[[#This Row],[priceWithCurrency]],3)</f>
        <v xml:space="preserve">US </v>
      </c>
      <c r="K39" t="str">
        <f>IF(Table2[[#This Row],[Available]]&lt;=50, "Less Stock", "Required stock" )</f>
        <v>Less Stock</v>
      </c>
      <c r="L39">
        <f t="shared" si="0"/>
        <v>0</v>
      </c>
      <c r="M39" t="s">
        <v>175</v>
      </c>
      <c r="N39">
        <v>55</v>
      </c>
      <c r="O39" t="s">
        <v>176</v>
      </c>
      <c r="P39" t="str">
        <f>RIGHT(RIGHT(Table2[[#This Row],[last Updated]],12),4)</f>
        <v xml:space="preserve"> PDT</v>
      </c>
      <c r="Q39" t="s">
        <v>30</v>
      </c>
    </row>
    <row r="40" spans="1:17" x14ac:dyDescent="0.25">
      <c r="A40" t="s">
        <v>90</v>
      </c>
      <c r="B40" t="str">
        <f>UPPER(Table2[[#This Row],[Brand]])</f>
        <v>ARMAF</v>
      </c>
      <c r="C40" t="str">
        <f>LOWER(Table2[[#This Row],[Brand]])</f>
        <v>armaf</v>
      </c>
      <c r="D40" t="str">
        <f>PROPER(Table2[[#This Row],[Brand]])</f>
        <v>Armaf</v>
      </c>
      <c r="E40" t="s">
        <v>4</v>
      </c>
      <c r="F40">
        <v>39.99</v>
      </c>
      <c r="G40" t="s">
        <v>96</v>
      </c>
      <c r="H4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$39.99</v>
      </c>
      <c r="I40" t="str">
        <f>LEFT(Table2[[#This Row],[priceWithCurrency]],3)</f>
        <v xml:space="preserve">US </v>
      </c>
      <c r="J40">
        <v>8</v>
      </c>
      <c r="K40" t="str">
        <f>IF(Table2[[#This Row],[Available]]&lt;=50, "Less Stock", "Required stock" )</f>
        <v>Less Stock</v>
      </c>
      <c r="L40">
        <f t="shared" si="0"/>
        <v>1103.28</v>
      </c>
      <c r="M40" t="s">
        <v>177</v>
      </c>
      <c r="N40">
        <v>276</v>
      </c>
      <c r="O40" t="s">
        <v>178</v>
      </c>
      <c r="P40" t="str">
        <f>RIGHT(RIGHT(Table2[[#This Row],[last Updated]],12),4)</f>
        <v xml:space="preserve"> PDT</v>
      </c>
      <c r="Q40" t="s">
        <v>179</v>
      </c>
    </row>
    <row r="41" spans="1:17" x14ac:dyDescent="0.25">
      <c r="A41" t="s">
        <v>180</v>
      </c>
      <c r="B41" t="str">
        <f>UPPER(Table2[[#This Row],[Brand]])</f>
        <v>CALVIN KLEIN</v>
      </c>
      <c r="C41" t="str">
        <f>LOWER(Table2[[#This Row],[Brand]])</f>
        <v>calvin klein</v>
      </c>
      <c r="D41" t="str">
        <f>PROPER(Table2[[#This Row],[Brand]])</f>
        <v>Calvin Klein</v>
      </c>
      <c r="E41" t="s">
        <v>15</v>
      </c>
      <c r="F41">
        <v>40.6</v>
      </c>
      <c r="G41" t="s">
        <v>181</v>
      </c>
      <c r="H4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$40.60</v>
      </c>
      <c r="I41" t="str">
        <f>LEFT(Table2[[#This Row],[priceWithCurrency]],3)</f>
        <v xml:space="preserve">US </v>
      </c>
      <c r="K41" t="str">
        <f>IF(Table2[[#This Row],[Available]]&lt;=50, "Less Stock", "Required stock" )</f>
        <v>Less Stock</v>
      </c>
      <c r="L41">
        <f t="shared" si="0"/>
        <v>1092.29</v>
      </c>
      <c r="M41" t="s">
        <v>182</v>
      </c>
      <c r="N41">
        <v>5582</v>
      </c>
      <c r="O41" t="s">
        <v>183</v>
      </c>
      <c r="P41" t="str">
        <f>RIGHT(RIGHT(Table2[[#This Row],[last Updated]],12),4)</f>
        <v xml:space="preserve"> PDT</v>
      </c>
      <c r="Q41" t="s">
        <v>121</v>
      </c>
    </row>
    <row r="42" spans="1:17" x14ac:dyDescent="0.25">
      <c r="A42" t="s">
        <v>184</v>
      </c>
      <c r="B42" t="str">
        <f>UPPER(Table2[[#This Row],[Brand]])</f>
        <v>UOMO</v>
      </c>
      <c r="C42" t="str">
        <f>LOWER(Table2[[#This Row],[Brand]])</f>
        <v>uomo</v>
      </c>
      <c r="D42" t="str">
        <f>PROPER(Table2[[#This Row],[Brand]])</f>
        <v>Uomo</v>
      </c>
      <c r="E42" t="s">
        <v>15</v>
      </c>
      <c r="F42">
        <v>54.99</v>
      </c>
      <c r="G42" t="s">
        <v>185</v>
      </c>
      <c r="H4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$54.99</v>
      </c>
      <c r="I42" t="str">
        <f>LEFT(Table2[[#This Row],[priceWithCurrency]],3)</f>
        <v xml:space="preserve">US </v>
      </c>
      <c r="K42" t="str">
        <f>IF(Table2[[#This Row],[Available]]&lt;=50, "Less Stock", "Required stock" )</f>
        <v>Less Stock</v>
      </c>
      <c r="L42">
        <f t="shared" si="0"/>
        <v>327.36</v>
      </c>
      <c r="M42" t="s">
        <v>186</v>
      </c>
      <c r="N42">
        <v>8</v>
      </c>
      <c r="O42" t="s">
        <v>187</v>
      </c>
      <c r="P42" t="str">
        <f>RIGHT(RIGHT(Table2[[#This Row],[last Updated]],12),4)</f>
        <v xml:space="preserve"> PDT</v>
      </c>
      <c r="Q42" t="s">
        <v>188</v>
      </c>
    </row>
    <row r="43" spans="1:17" x14ac:dyDescent="0.25">
      <c r="A43" t="s">
        <v>79</v>
      </c>
      <c r="B43" t="str">
        <f>UPPER(Table2[[#This Row],[Brand]])</f>
        <v>PACO RABANNE</v>
      </c>
      <c r="C43" t="str">
        <f>LOWER(Table2[[#This Row],[Brand]])</f>
        <v>paco rabanne</v>
      </c>
      <c r="D43" t="str">
        <f>PROPER(Table2[[#This Row],[Brand]])</f>
        <v>Paco Rabanne</v>
      </c>
      <c r="E43" t="s">
        <v>15</v>
      </c>
      <c r="F43">
        <v>40.99</v>
      </c>
      <c r="G43" t="s">
        <v>189</v>
      </c>
      <c r="H4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$40.99</v>
      </c>
      <c r="I43" t="str">
        <f>LEFT(Table2[[#This Row],[priceWithCurrency]],3)</f>
        <v xml:space="preserve">US </v>
      </c>
      <c r="J43">
        <v>10</v>
      </c>
      <c r="K43" t="str">
        <f>IF(Table2[[#This Row],[Available]]&lt;=50, "Less Stock", "Required stock" )</f>
        <v>Less Stock</v>
      </c>
      <c r="L43">
        <f t="shared" si="0"/>
        <v>1123.28</v>
      </c>
      <c r="M43" t="s">
        <v>190</v>
      </c>
      <c r="N43">
        <v>37</v>
      </c>
      <c r="O43" t="s">
        <v>191</v>
      </c>
      <c r="P43" t="str">
        <f>RIGHT(RIGHT(Table2[[#This Row],[last Updated]],12),4)</f>
        <v xml:space="preserve"> PDT</v>
      </c>
      <c r="Q43" t="s">
        <v>135</v>
      </c>
    </row>
    <row r="44" spans="1:17" x14ac:dyDescent="0.25">
      <c r="A44" t="s">
        <v>90</v>
      </c>
      <c r="B44" t="str">
        <f>UPPER(Table2[[#This Row],[Brand]])</f>
        <v>ARMAF</v>
      </c>
      <c r="C44" t="str">
        <f>LOWER(Table2[[#This Row],[Brand]])</f>
        <v>armaf</v>
      </c>
      <c r="D44" t="str">
        <f>PROPER(Table2[[#This Row],[Brand]])</f>
        <v>Armaf</v>
      </c>
      <c r="E44" t="s">
        <v>4</v>
      </c>
      <c r="F44">
        <v>34.840000000000003</v>
      </c>
      <c r="G44" t="s">
        <v>192</v>
      </c>
      <c r="H4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$34.84</v>
      </c>
      <c r="I44" t="str">
        <f>LEFT(Table2[[#This Row],[priceWithCurrency]],3)</f>
        <v xml:space="preserve">US </v>
      </c>
      <c r="K44" t="str">
        <f>IF(Table2[[#This Row],[Available]]&lt;=50, "Less Stock", "Required stock" )</f>
        <v>Less Stock</v>
      </c>
      <c r="L44">
        <f t="shared" si="0"/>
        <v>140.41</v>
      </c>
      <c r="M44" t="s">
        <v>193</v>
      </c>
      <c r="N44">
        <v>4460</v>
      </c>
      <c r="O44" t="s">
        <v>194</v>
      </c>
      <c r="P44" t="str">
        <f>RIGHT(RIGHT(Table2[[#This Row],[last Updated]],12),4)</f>
        <v xml:space="preserve"> PDT</v>
      </c>
      <c r="Q44" t="s">
        <v>108</v>
      </c>
    </row>
    <row r="45" spans="1:17" x14ac:dyDescent="0.25">
      <c r="A45" t="s">
        <v>195</v>
      </c>
      <c r="B45" t="str">
        <f>UPPER(Table2[[#This Row],[Brand]])</f>
        <v>GIVENCHY</v>
      </c>
      <c r="C45" t="str">
        <f>LOWER(Table2[[#This Row],[Brand]])</f>
        <v>givenchy</v>
      </c>
      <c r="D45" t="str">
        <f>PROPER(Table2[[#This Row],[Brand]])</f>
        <v>Givenchy</v>
      </c>
      <c r="E45" t="s">
        <v>15</v>
      </c>
      <c r="F45">
        <v>34.72</v>
      </c>
      <c r="G45" t="s">
        <v>196</v>
      </c>
      <c r="H4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$34.72</v>
      </c>
      <c r="I45" t="str">
        <f>LEFT(Table2[[#This Row],[priceWithCurrency]],3)</f>
        <v xml:space="preserve">US </v>
      </c>
      <c r="J45">
        <v>71</v>
      </c>
      <c r="K45" t="str">
        <f>IF(Table2[[#This Row],[Available]]&lt;=50, "Less Stock", "Required stock" )</f>
        <v>Required stock</v>
      </c>
      <c r="L45">
        <f t="shared" si="0"/>
        <v>39.99</v>
      </c>
      <c r="M45" t="s">
        <v>197</v>
      </c>
      <c r="N45">
        <v>627</v>
      </c>
      <c r="O45" t="s">
        <v>198</v>
      </c>
      <c r="P45" t="str">
        <f>RIGHT(RIGHT(Table2[[#This Row],[last Updated]],12),4)</f>
        <v xml:space="preserve"> PDT</v>
      </c>
      <c r="Q45" t="s">
        <v>121</v>
      </c>
    </row>
    <row r="46" spans="1:17" x14ac:dyDescent="0.25">
      <c r="A46" t="s">
        <v>126</v>
      </c>
      <c r="B46" t="str">
        <f>UPPER(Table2[[#This Row],[Brand]])</f>
        <v>AZZARO</v>
      </c>
      <c r="C46" t="str">
        <f>LOWER(Table2[[#This Row],[Brand]])</f>
        <v>azzaro</v>
      </c>
      <c r="D46" t="str">
        <f>PROPER(Table2[[#This Row],[Brand]])</f>
        <v>Azzaro</v>
      </c>
      <c r="E46" t="s">
        <v>15</v>
      </c>
      <c r="F46">
        <v>46.33</v>
      </c>
      <c r="G46" t="s">
        <v>199</v>
      </c>
      <c r="H4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$46.33</v>
      </c>
      <c r="I46" t="str">
        <f>LEFT(Table2[[#This Row],[priceWithCurrency]],3)</f>
        <v xml:space="preserve">US </v>
      </c>
      <c r="K46" t="str">
        <f>IF(Table2[[#This Row],[Available]]&lt;=50, "Less Stock", "Required stock" )</f>
        <v>Less Stock</v>
      </c>
      <c r="L46">
        <f t="shared" si="0"/>
        <v>2097.69</v>
      </c>
      <c r="M46" t="s">
        <v>200</v>
      </c>
      <c r="N46">
        <v>30655</v>
      </c>
      <c r="O46" t="s">
        <v>201</v>
      </c>
      <c r="P46" t="str">
        <f>RIGHT(RIGHT(Table2[[#This Row],[last Updated]],12),4)</f>
        <v xml:space="preserve"> PDT</v>
      </c>
      <c r="Q46" t="s">
        <v>108</v>
      </c>
    </row>
    <row r="47" spans="1:17" x14ac:dyDescent="0.25">
      <c r="A47" t="s">
        <v>90</v>
      </c>
      <c r="B47" t="str">
        <f>UPPER(Table2[[#This Row],[Brand]])</f>
        <v>ARMAF</v>
      </c>
      <c r="C47" t="str">
        <f>LOWER(Table2[[#This Row],[Brand]])</f>
        <v>armaf</v>
      </c>
      <c r="D47" t="str">
        <f>PROPER(Table2[[#This Row],[Brand]])</f>
        <v>Armaf</v>
      </c>
      <c r="E47" t="s">
        <v>4</v>
      </c>
      <c r="F47">
        <v>39</v>
      </c>
      <c r="G47" t="s">
        <v>202</v>
      </c>
      <c r="H4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$39.00</v>
      </c>
      <c r="I47" t="str">
        <f>LEFT(Table2[[#This Row],[priceWithCurrency]],3)</f>
        <v xml:space="preserve">US </v>
      </c>
      <c r="J47">
        <v>3</v>
      </c>
      <c r="K47" t="str">
        <f>IF(Table2[[#This Row],[Available]]&lt;=50, "Less Stock", "Required stock" )</f>
        <v>Less Stock</v>
      </c>
      <c r="L47">
        <f t="shared" si="0"/>
        <v>2134.02</v>
      </c>
      <c r="M47" t="s">
        <v>203</v>
      </c>
      <c r="N47">
        <v>24</v>
      </c>
      <c r="O47" t="s">
        <v>204</v>
      </c>
      <c r="P47" t="str">
        <f>RIGHT(RIGHT(Table2[[#This Row],[last Updated]],12),4)</f>
        <v xml:space="preserve"> PDT</v>
      </c>
      <c r="Q47" t="s">
        <v>30</v>
      </c>
    </row>
    <row r="48" spans="1:17" x14ac:dyDescent="0.25">
      <c r="A48" t="s">
        <v>25</v>
      </c>
      <c r="B48" t="str">
        <f>UPPER(Table2[[#This Row],[Brand]])</f>
        <v>LATTAFA</v>
      </c>
      <c r="C48" t="str">
        <f>LOWER(Table2[[#This Row],[Brand]])</f>
        <v>lattafa</v>
      </c>
      <c r="D48" t="str">
        <f>PROPER(Table2[[#This Row],[Brand]])</f>
        <v>Lattafa</v>
      </c>
      <c r="E48" t="s">
        <v>4</v>
      </c>
      <c r="F48">
        <v>21.54</v>
      </c>
      <c r="G48" t="s">
        <v>205</v>
      </c>
      <c r="H4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$21.54</v>
      </c>
      <c r="I48" t="str">
        <f>LEFT(Table2[[#This Row],[priceWithCurrency]],3)</f>
        <v xml:space="preserve">US </v>
      </c>
      <c r="J48">
        <v>96</v>
      </c>
      <c r="K48" t="str">
        <f>IF(Table2[[#This Row],[Available]]&lt;=50, "Less Stock", "Required stock" )</f>
        <v>Required stock</v>
      </c>
      <c r="L48">
        <f t="shared" si="0"/>
        <v>327.36</v>
      </c>
      <c r="M48" t="s">
        <v>206</v>
      </c>
      <c r="N48">
        <v>989</v>
      </c>
      <c r="O48" t="s">
        <v>207</v>
      </c>
      <c r="P48" t="str">
        <f>RIGHT(RIGHT(Table2[[#This Row],[last Updated]],12),4)</f>
        <v xml:space="preserve"> PDT</v>
      </c>
      <c r="Q48" t="s">
        <v>121</v>
      </c>
    </row>
    <row r="49" spans="1:17" x14ac:dyDescent="0.25">
      <c r="A49" t="s">
        <v>208</v>
      </c>
      <c r="B49" t="str">
        <f>UPPER(Table2[[#This Row],[Brand]])</f>
        <v>POLO RALPH LAUREN</v>
      </c>
      <c r="C49" t="str">
        <f>LOWER(Table2[[#This Row],[Brand]])</f>
        <v>polo ralph lauren</v>
      </c>
      <c r="D49" t="str">
        <f>PROPER(Table2[[#This Row],[Brand]])</f>
        <v>Polo Ralph Lauren</v>
      </c>
      <c r="E49" t="s">
        <v>15</v>
      </c>
      <c r="F49">
        <v>32.97</v>
      </c>
      <c r="G49" t="s">
        <v>209</v>
      </c>
      <c r="H4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$32.97</v>
      </c>
      <c r="I49" t="str">
        <f>LEFT(Table2[[#This Row],[priceWithCurrency]],3)</f>
        <v xml:space="preserve">US </v>
      </c>
      <c r="J49">
        <v>756</v>
      </c>
      <c r="K49" t="str">
        <f>IF(Table2[[#This Row],[Available]]&lt;=50, "Less Stock", "Required stock" )</f>
        <v>Required stock</v>
      </c>
      <c r="L49">
        <f t="shared" si="0"/>
        <v>181</v>
      </c>
      <c r="M49" t="s">
        <v>210</v>
      </c>
      <c r="N49">
        <v>5023</v>
      </c>
      <c r="O49" t="s">
        <v>211</v>
      </c>
      <c r="P49" t="str">
        <f>RIGHT(RIGHT(Table2[[#This Row],[last Updated]],12),4)</f>
        <v xml:space="preserve"> PDT</v>
      </c>
      <c r="Q49" t="s">
        <v>121</v>
      </c>
    </row>
    <row r="50" spans="1:17" x14ac:dyDescent="0.25">
      <c r="A50" t="s">
        <v>56</v>
      </c>
      <c r="B50" t="str">
        <f>UPPER(Table2[[#This Row],[Brand]])</f>
        <v>RALPH LAUREN</v>
      </c>
      <c r="C50" t="str">
        <f>LOWER(Table2[[#This Row],[Brand]])</f>
        <v>ralph lauren</v>
      </c>
      <c r="D50" t="str">
        <f>PROPER(Table2[[#This Row],[Brand]])</f>
        <v>Ralph Lauren</v>
      </c>
      <c r="E50" t="s">
        <v>15</v>
      </c>
      <c r="F50">
        <v>23.34</v>
      </c>
      <c r="G50" t="s">
        <v>212</v>
      </c>
      <c r="H5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$23.34</v>
      </c>
      <c r="I50" t="str">
        <f>LEFT(Table2[[#This Row],[priceWithCurrency]],3)</f>
        <v xml:space="preserve">US </v>
      </c>
      <c r="J50">
        <v>452</v>
      </c>
      <c r="K50" t="str">
        <f>IF(Table2[[#This Row],[Available]]&lt;=50, "Less Stock", "Required stock" )</f>
        <v>Required stock</v>
      </c>
      <c r="L50">
        <f t="shared" si="0"/>
        <v>2137.4799999999996</v>
      </c>
      <c r="M50" t="s">
        <v>213</v>
      </c>
      <c r="N50">
        <v>972</v>
      </c>
      <c r="O50" t="s">
        <v>214</v>
      </c>
      <c r="P50" t="str">
        <f>RIGHT(RIGHT(Table2[[#This Row],[last Updated]],12),4)</f>
        <v xml:space="preserve"> PDT</v>
      </c>
      <c r="Q50" t="s">
        <v>121</v>
      </c>
    </row>
    <row r="51" spans="1:17" x14ac:dyDescent="0.25">
      <c r="A51" t="s">
        <v>215</v>
      </c>
      <c r="B51" t="str">
        <f>UPPER(Table2[[#This Row],[Brand]])</f>
        <v>C.K</v>
      </c>
      <c r="C51" t="str">
        <f>LOWER(Table2[[#This Row],[Brand]])</f>
        <v>c.k</v>
      </c>
      <c r="D51" t="str">
        <f>PROPER(Table2[[#This Row],[Brand]])</f>
        <v>C.K</v>
      </c>
      <c r="E51" t="s">
        <v>15</v>
      </c>
      <c r="F51">
        <v>28.75</v>
      </c>
      <c r="G51" t="s">
        <v>216</v>
      </c>
      <c r="H5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$28.75</v>
      </c>
      <c r="I51" t="str">
        <f>LEFT(Table2[[#This Row],[priceWithCurrency]],3)</f>
        <v xml:space="preserve">US </v>
      </c>
      <c r="K51" t="str">
        <f>IF(Table2[[#This Row],[Available]]&lt;=50, "Less Stock", "Required stock" )</f>
        <v>Less Stock</v>
      </c>
      <c r="L51">
        <f t="shared" si="0"/>
        <v>973.67000000000007</v>
      </c>
      <c r="M51" t="s">
        <v>217</v>
      </c>
      <c r="N51">
        <v>12739</v>
      </c>
      <c r="O51" t="s">
        <v>218</v>
      </c>
      <c r="P51" t="str">
        <f>RIGHT(RIGHT(Table2[[#This Row],[last Updated]],12),4)</f>
        <v xml:space="preserve"> PDT</v>
      </c>
      <c r="Q51" t="s">
        <v>108</v>
      </c>
    </row>
    <row r="52" spans="1:17" x14ac:dyDescent="0.25">
      <c r="A52" t="s">
        <v>219</v>
      </c>
      <c r="B52" t="str">
        <f>UPPER(Table2[[#This Row],[Brand]])</f>
        <v>JOHN VARVATOS</v>
      </c>
      <c r="C52" t="str">
        <f>LOWER(Table2[[#This Row],[Brand]])</f>
        <v>john varvatos</v>
      </c>
      <c r="D52" t="str">
        <f>PROPER(Table2[[#This Row],[Brand]])</f>
        <v>John Varvatos</v>
      </c>
      <c r="E52" t="s">
        <v>15</v>
      </c>
      <c r="F52">
        <v>27.94</v>
      </c>
      <c r="G52" t="s">
        <v>220</v>
      </c>
      <c r="H5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$27.94</v>
      </c>
      <c r="I52" t="str">
        <f>LEFT(Table2[[#This Row],[priceWithCurrency]],3)</f>
        <v xml:space="preserve">US </v>
      </c>
      <c r="J52">
        <v>161</v>
      </c>
      <c r="K52" t="str">
        <f>IF(Table2[[#This Row],[Available]]&lt;=50, "Less Stock", "Required stock" )</f>
        <v>Required stock</v>
      </c>
      <c r="L52">
        <f t="shared" si="0"/>
        <v>973.67000000000007</v>
      </c>
      <c r="M52" t="s">
        <v>221</v>
      </c>
      <c r="N52">
        <v>485</v>
      </c>
      <c r="O52" t="s">
        <v>222</v>
      </c>
      <c r="P52" t="str">
        <f>RIGHT(RIGHT(Table2[[#This Row],[last Updated]],12),4)</f>
        <v xml:space="preserve"> PDT</v>
      </c>
      <c r="Q52" t="s">
        <v>121</v>
      </c>
    </row>
    <row r="53" spans="1:17" x14ac:dyDescent="0.25">
      <c r="A53" t="s">
        <v>117</v>
      </c>
      <c r="B53" t="str">
        <f>UPPER(Table2[[#This Row],[Brand]])</f>
        <v>AFNAN</v>
      </c>
      <c r="C53" t="str">
        <f>LOWER(Table2[[#This Row],[Brand]])</f>
        <v>afnan</v>
      </c>
      <c r="D53" t="str">
        <f>PROPER(Table2[[#This Row],[Brand]])</f>
        <v>Afnan</v>
      </c>
      <c r="E53" t="s">
        <v>4</v>
      </c>
      <c r="F53">
        <v>32.5</v>
      </c>
      <c r="G53" t="s">
        <v>223</v>
      </c>
      <c r="H5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$32.50</v>
      </c>
      <c r="I53" t="str">
        <f>LEFT(Table2[[#This Row],[priceWithCurrency]],3)</f>
        <v xml:space="preserve">US </v>
      </c>
      <c r="J53">
        <v>5</v>
      </c>
      <c r="K53" t="str">
        <f>IF(Table2[[#This Row],[Available]]&lt;=50, "Less Stock", "Required stock" )</f>
        <v>Less Stock</v>
      </c>
      <c r="L53">
        <f t="shared" si="0"/>
        <v>51.99</v>
      </c>
      <c r="M53" t="s">
        <v>224</v>
      </c>
      <c r="N53">
        <v>372</v>
      </c>
      <c r="O53" t="s">
        <v>225</v>
      </c>
      <c r="P53" t="str">
        <f>RIGHT(RIGHT(Table2[[#This Row],[last Updated]],12),4)</f>
        <v xml:space="preserve"> PDT</v>
      </c>
      <c r="Q53" t="s">
        <v>226</v>
      </c>
    </row>
    <row r="54" spans="1:17" x14ac:dyDescent="0.25">
      <c r="A54" t="s">
        <v>227</v>
      </c>
      <c r="B54" t="str">
        <f>UPPER(Table2[[#This Row],[Brand]])</f>
        <v>NAUTICA</v>
      </c>
      <c r="C54" t="str">
        <f>LOWER(Table2[[#This Row],[Brand]])</f>
        <v>nautica</v>
      </c>
      <c r="D54" t="str">
        <f>PROPER(Table2[[#This Row],[Brand]])</f>
        <v>Nautica</v>
      </c>
      <c r="E54" t="s">
        <v>15</v>
      </c>
      <c r="F54">
        <v>14.99</v>
      </c>
      <c r="G54" t="s">
        <v>33</v>
      </c>
      <c r="H5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$14.99</v>
      </c>
      <c r="I54" t="str">
        <f>LEFT(Table2[[#This Row],[priceWithCurrency]],3)</f>
        <v xml:space="preserve">US </v>
      </c>
      <c r="J54">
        <v>3</v>
      </c>
      <c r="K54" t="str">
        <f>IF(Table2[[#This Row],[Available]]&lt;=50, "Less Stock", "Required stock" )</f>
        <v>Less Stock</v>
      </c>
      <c r="L54">
        <f t="shared" si="0"/>
        <v>1908.5200000000002</v>
      </c>
      <c r="M54" t="s">
        <v>228</v>
      </c>
      <c r="N54">
        <v>291</v>
      </c>
      <c r="O54" t="s">
        <v>229</v>
      </c>
      <c r="P54" t="str">
        <f>RIGHT(RIGHT(Table2[[#This Row],[last Updated]],12),4)</f>
        <v xml:space="preserve"> PDT</v>
      </c>
      <c r="Q54" t="s">
        <v>230</v>
      </c>
    </row>
    <row r="55" spans="1:17" x14ac:dyDescent="0.25">
      <c r="A55" t="s">
        <v>20</v>
      </c>
      <c r="B55" t="str">
        <f>UPPER(Table2[[#This Row],[Brand]])</f>
        <v>GIORGIO ARMANI</v>
      </c>
      <c r="C55" t="str">
        <f>LOWER(Table2[[#This Row],[Brand]])</f>
        <v>giorgio armani</v>
      </c>
      <c r="D55" t="str">
        <f>PROPER(Table2[[#This Row],[Brand]])</f>
        <v>Giorgio Armani</v>
      </c>
      <c r="E55" t="s">
        <v>15</v>
      </c>
      <c r="F55">
        <v>45.95</v>
      </c>
      <c r="G55" t="s">
        <v>231</v>
      </c>
      <c r="H5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$45.95</v>
      </c>
      <c r="I55" t="str">
        <f>LEFT(Table2[[#This Row],[priceWithCurrency]],3)</f>
        <v xml:space="preserve">US </v>
      </c>
      <c r="J55">
        <v>5</v>
      </c>
      <c r="K55" t="str">
        <f>IF(Table2[[#This Row],[Available]]&lt;=50, "Less Stock", "Required stock" )</f>
        <v>Less Stock</v>
      </c>
      <c r="L55">
        <f t="shared" si="0"/>
        <v>327.36</v>
      </c>
      <c r="M55" t="s">
        <v>232</v>
      </c>
      <c r="N55">
        <v>578</v>
      </c>
      <c r="O55" t="s">
        <v>233</v>
      </c>
      <c r="P55" t="str">
        <f>RIGHT(RIGHT(Table2[[#This Row],[last Updated]],12),4)</f>
        <v xml:space="preserve"> PDT</v>
      </c>
      <c r="Q55" t="s">
        <v>234</v>
      </c>
    </row>
    <row r="56" spans="1:17" x14ac:dyDescent="0.25">
      <c r="A56" t="s">
        <v>20</v>
      </c>
      <c r="B56" t="str">
        <f>UPPER(Table2[[#This Row],[Brand]])</f>
        <v>GIORGIO ARMANI</v>
      </c>
      <c r="C56" t="str">
        <f>LOWER(Table2[[#This Row],[Brand]])</f>
        <v>giorgio armani</v>
      </c>
      <c r="D56" t="str">
        <f>PROPER(Table2[[#This Row],[Brand]])</f>
        <v>Giorgio Armani</v>
      </c>
      <c r="E56" t="s">
        <v>4</v>
      </c>
      <c r="F56">
        <v>68.989999999999995</v>
      </c>
      <c r="G56" t="s">
        <v>81</v>
      </c>
      <c r="H5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$68.99</v>
      </c>
      <c r="I56" t="str">
        <f>LEFT(Table2[[#This Row],[priceWithCurrency]],3)</f>
        <v xml:space="preserve">US </v>
      </c>
      <c r="J56">
        <v>2</v>
      </c>
      <c r="K56" t="str">
        <f>IF(Table2[[#This Row],[Available]]&lt;=50, "Less Stock", "Required stock" )</f>
        <v>Less Stock</v>
      </c>
      <c r="L56">
        <f t="shared" si="0"/>
        <v>1763.5300000000002</v>
      </c>
      <c r="M56" t="s">
        <v>235</v>
      </c>
      <c r="N56">
        <v>99</v>
      </c>
      <c r="O56" t="s">
        <v>236</v>
      </c>
      <c r="P56" t="str">
        <f>RIGHT(RIGHT(Table2[[#This Row],[last Updated]],12),4)</f>
        <v xml:space="preserve"> PDT</v>
      </c>
      <c r="Q56" t="s">
        <v>237</v>
      </c>
    </row>
    <row r="57" spans="1:17" x14ac:dyDescent="0.25">
      <c r="A57" t="s">
        <v>238</v>
      </c>
      <c r="B57" t="str">
        <f>UPPER(Table2[[#This Row],[Brand]])</f>
        <v>AS PICTURE SHOW</v>
      </c>
      <c r="C57" t="str">
        <f>LOWER(Table2[[#This Row],[Brand]])</f>
        <v>as picture show</v>
      </c>
      <c r="D57" t="str">
        <f>PROPER(Table2[[#This Row],[Brand]])</f>
        <v>As Picture Show</v>
      </c>
      <c r="E57" t="s">
        <v>4</v>
      </c>
      <c r="F57">
        <v>69.989999999999995</v>
      </c>
      <c r="G57" t="s">
        <v>239</v>
      </c>
      <c r="H5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$69.99</v>
      </c>
      <c r="I57" t="str">
        <f>LEFT(Table2[[#This Row],[priceWithCurrency]],3)</f>
        <v xml:space="preserve">US </v>
      </c>
      <c r="J57">
        <v>56</v>
      </c>
      <c r="K57" t="str">
        <f>IF(Table2[[#This Row],[Available]]&lt;=50, "Less Stock", "Required stock" )</f>
        <v>Required stock</v>
      </c>
      <c r="L57">
        <f t="shared" si="0"/>
        <v>985.07</v>
      </c>
      <c r="M57" t="s">
        <v>240</v>
      </c>
      <c r="N57">
        <v>44</v>
      </c>
      <c r="O57" t="s">
        <v>241</v>
      </c>
      <c r="P57" t="str">
        <f>RIGHT(RIGHT(Table2[[#This Row],[last Updated]],12),4)</f>
        <v xml:space="preserve"> PDT</v>
      </c>
      <c r="Q57" t="s">
        <v>242</v>
      </c>
    </row>
    <row r="58" spans="1:17" x14ac:dyDescent="0.25">
      <c r="A58" t="s">
        <v>66</v>
      </c>
      <c r="B58" t="str">
        <f>UPPER(Table2[[#This Row],[Brand]])</f>
        <v>SECERTMU</v>
      </c>
      <c r="C58" t="str">
        <f>LOWER(Table2[[#This Row],[Brand]])</f>
        <v>secertmu</v>
      </c>
      <c r="D58" t="str">
        <f>PROPER(Table2[[#This Row],[Brand]])</f>
        <v>Secertmu</v>
      </c>
      <c r="E58" t="s">
        <v>32</v>
      </c>
      <c r="F58">
        <v>13.99</v>
      </c>
      <c r="G58" t="s">
        <v>243</v>
      </c>
      <c r="H5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$13.99</v>
      </c>
      <c r="I58" t="str">
        <f>LEFT(Table2[[#This Row],[priceWithCurrency]],3)</f>
        <v xml:space="preserve">US </v>
      </c>
      <c r="J58">
        <v>10</v>
      </c>
      <c r="K58" t="str">
        <f>IF(Table2[[#This Row],[Available]]&lt;=50, "Less Stock", "Required stock" )</f>
        <v>Less Stock</v>
      </c>
      <c r="L58">
        <f t="shared" si="0"/>
        <v>1792.4600000000003</v>
      </c>
      <c r="M58" t="s">
        <v>244</v>
      </c>
      <c r="N58">
        <v>290</v>
      </c>
      <c r="O58" t="s">
        <v>245</v>
      </c>
      <c r="P58" t="str">
        <f>RIGHT(RIGHT(Table2[[#This Row],[last Updated]],12),4)</f>
        <v xml:space="preserve"> PDT</v>
      </c>
      <c r="Q58" t="s">
        <v>70</v>
      </c>
    </row>
    <row r="59" spans="1:17" x14ac:dyDescent="0.25">
      <c r="A59" t="s">
        <v>76</v>
      </c>
      <c r="B59" t="str">
        <f>UPPER(Table2[[#This Row],[Brand]])</f>
        <v>VERSACE</v>
      </c>
      <c r="C59" t="str">
        <f>LOWER(Table2[[#This Row],[Brand]])</f>
        <v>versace</v>
      </c>
      <c r="D59" t="str">
        <f>PROPER(Table2[[#This Row],[Brand]])</f>
        <v>Versace</v>
      </c>
      <c r="E59" t="s">
        <v>15</v>
      </c>
      <c r="F59">
        <v>36.880000000000003</v>
      </c>
      <c r="G59" t="s">
        <v>246</v>
      </c>
      <c r="H5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$36.88</v>
      </c>
      <c r="I59" t="str">
        <f>LEFT(Table2[[#This Row],[priceWithCurrency]],3)</f>
        <v xml:space="preserve">US </v>
      </c>
      <c r="K59" t="str">
        <f>IF(Table2[[#This Row],[Available]]&lt;=50, "Less Stock", "Required stock" )</f>
        <v>Less Stock</v>
      </c>
      <c r="L59">
        <f t="shared" si="0"/>
        <v>1792.4600000000003</v>
      </c>
      <c r="M59" t="s">
        <v>247</v>
      </c>
      <c r="N59">
        <v>19899</v>
      </c>
      <c r="O59" t="s">
        <v>248</v>
      </c>
      <c r="P59" t="str">
        <f>RIGHT(RIGHT(Table2[[#This Row],[last Updated]],12),4)</f>
        <v xml:space="preserve"> PDT</v>
      </c>
      <c r="Q59" t="s">
        <v>108</v>
      </c>
    </row>
    <row r="60" spans="1:17" x14ac:dyDescent="0.25">
      <c r="A60" t="s">
        <v>249</v>
      </c>
      <c r="B60" t="str">
        <f>UPPER(Table2[[#This Row],[Brand]])</f>
        <v>KENNETH COLE</v>
      </c>
      <c r="C60" t="str">
        <f>LOWER(Table2[[#This Row],[Brand]])</f>
        <v>kenneth cole</v>
      </c>
      <c r="D60" t="str">
        <f>PROPER(Table2[[#This Row],[Brand]])</f>
        <v>Kenneth Cole</v>
      </c>
      <c r="E60" t="s">
        <v>15</v>
      </c>
      <c r="F60">
        <v>24.7</v>
      </c>
      <c r="G60" t="s">
        <v>250</v>
      </c>
      <c r="H6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$24.70</v>
      </c>
      <c r="I60" t="str">
        <f>LEFT(Table2[[#This Row],[priceWithCurrency]],3)</f>
        <v xml:space="preserve">US </v>
      </c>
      <c r="K60" t="str">
        <f>IF(Table2[[#This Row],[Available]]&lt;=50, "Less Stock", "Required stock" )</f>
        <v>Less Stock</v>
      </c>
      <c r="L60">
        <f t="shared" si="0"/>
        <v>955.08</v>
      </c>
      <c r="M60" t="s">
        <v>251</v>
      </c>
      <c r="N60">
        <v>12865</v>
      </c>
      <c r="O60" t="s">
        <v>252</v>
      </c>
      <c r="P60" t="str">
        <f>RIGHT(RIGHT(Table2[[#This Row],[last Updated]],12),4)</f>
        <v xml:space="preserve"> PDT</v>
      </c>
      <c r="Q60" t="s">
        <v>121</v>
      </c>
    </row>
    <row r="61" spans="1:17" x14ac:dyDescent="0.25">
      <c r="A61" t="s">
        <v>253</v>
      </c>
      <c r="B61" t="str">
        <f>UPPER(Table2[[#This Row],[Brand]])</f>
        <v>TOMMY HILFIGER</v>
      </c>
      <c r="C61" t="str">
        <f>LOWER(Table2[[#This Row],[Brand]])</f>
        <v>tommy hilfiger</v>
      </c>
      <c r="D61" t="str">
        <f>PROPER(Table2[[#This Row],[Brand]])</f>
        <v>Tommy Hilfiger</v>
      </c>
      <c r="E61" t="s">
        <v>15</v>
      </c>
      <c r="F61">
        <v>26.11</v>
      </c>
      <c r="G61" t="s">
        <v>254</v>
      </c>
      <c r="H6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$26.11</v>
      </c>
      <c r="I61" t="str">
        <f>LEFT(Table2[[#This Row],[priceWithCurrency]],3)</f>
        <v xml:space="preserve">US </v>
      </c>
      <c r="J61">
        <v>4</v>
      </c>
      <c r="K61" t="str">
        <f>IF(Table2[[#This Row],[Available]]&lt;=50, "Less Stock", "Required stock" )</f>
        <v>Less Stock</v>
      </c>
      <c r="L61">
        <f t="shared" si="0"/>
        <v>955.08</v>
      </c>
      <c r="M61" t="s">
        <v>255</v>
      </c>
      <c r="N61">
        <v>12184</v>
      </c>
      <c r="O61" t="s">
        <v>256</v>
      </c>
      <c r="P61" t="str">
        <f>RIGHT(RIGHT(Table2[[#This Row],[last Updated]],12),4)</f>
        <v xml:space="preserve"> PDT</v>
      </c>
      <c r="Q61" t="s">
        <v>121</v>
      </c>
    </row>
    <row r="62" spans="1:17" x14ac:dyDescent="0.25">
      <c r="A62" t="s">
        <v>14</v>
      </c>
      <c r="B62" t="str">
        <f>UPPER(Table2[[#This Row],[Brand]])</f>
        <v>UNBRANDED</v>
      </c>
      <c r="C62" t="str">
        <f>LOWER(Table2[[#This Row],[Brand]])</f>
        <v>unbranded</v>
      </c>
      <c r="D62" t="str">
        <f>PROPER(Table2[[#This Row],[Brand]])</f>
        <v>Unbranded</v>
      </c>
      <c r="E62" t="s">
        <v>32</v>
      </c>
      <c r="F62">
        <v>14.99</v>
      </c>
      <c r="G62" t="s">
        <v>33</v>
      </c>
      <c r="H6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$14.99</v>
      </c>
      <c r="I62" t="str">
        <f>LEFT(Table2[[#This Row],[priceWithCurrency]],3)</f>
        <v xml:space="preserve">US </v>
      </c>
      <c r="J62">
        <v>10</v>
      </c>
      <c r="K62" t="str">
        <f>IF(Table2[[#This Row],[Available]]&lt;=50, "Less Stock", "Required stock" )</f>
        <v>Less Stock</v>
      </c>
      <c r="L62">
        <f t="shared" si="0"/>
        <v>994.85</v>
      </c>
      <c r="M62" t="s">
        <v>257</v>
      </c>
      <c r="N62">
        <v>172</v>
      </c>
      <c r="O62" t="s">
        <v>258</v>
      </c>
      <c r="P62" t="str">
        <f>RIGHT(RIGHT(Table2[[#This Row],[last Updated]],12),4)</f>
        <v xml:space="preserve"> PDT</v>
      </c>
      <c r="Q62" t="s">
        <v>259</v>
      </c>
    </row>
    <row r="63" spans="1:17" x14ac:dyDescent="0.25">
      <c r="A63" t="s">
        <v>260</v>
      </c>
      <c r="B63" t="str">
        <f>UPPER(Table2[[#This Row],[Brand]])</f>
        <v>2ND TO NONE</v>
      </c>
      <c r="C63" t="str">
        <f>LOWER(Table2[[#This Row],[Brand]])</f>
        <v>2nd to none</v>
      </c>
      <c r="D63" t="str">
        <f>PROPER(Table2[[#This Row],[Brand]])</f>
        <v>2Nd To None</v>
      </c>
      <c r="E63" t="s">
        <v>261</v>
      </c>
      <c r="F63">
        <v>6.65</v>
      </c>
      <c r="G63" t="s">
        <v>262</v>
      </c>
      <c r="H6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$6.65</v>
      </c>
      <c r="I63" t="str">
        <f>LEFT(Table2[[#This Row],[priceWithCurrency]],3)</f>
        <v xml:space="preserve">US </v>
      </c>
      <c r="J63">
        <v>9</v>
      </c>
      <c r="K63" t="str">
        <f>IF(Table2[[#This Row],[Available]]&lt;=50, "Less Stock", "Required stock" )</f>
        <v>Less Stock</v>
      </c>
      <c r="L63">
        <f t="shared" si="0"/>
        <v>233.62</v>
      </c>
      <c r="M63" t="s">
        <v>263</v>
      </c>
      <c r="N63">
        <v>18882</v>
      </c>
      <c r="O63" t="s">
        <v>264</v>
      </c>
      <c r="P63" t="str">
        <f>RIGHT(RIGHT(Table2[[#This Row],[last Updated]],12),4)</f>
        <v xml:space="preserve"> PDT</v>
      </c>
      <c r="Q63" t="s">
        <v>265</v>
      </c>
    </row>
    <row r="64" spans="1:17" x14ac:dyDescent="0.25">
      <c r="A64" t="s">
        <v>3</v>
      </c>
      <c r="B64" t="str">
        <f>UPPER(Table2[[#This Row],[Brand]])</f>
        <v>DIOR</v>
      </c>
      <c r="C64" t="str">
        <f>LOWER(Table2[[#This Row],[Brand]])</f>
        <v>dior</v>
      </c>
      <c r="D64" t="str">
        <f>PROPER(Table2[[#This Row],[Brand]])</f>
        <v>Dior</v>
      </c>
      <c r="E64" t="s">
        <v>4</v>
      </c>
      <c r="F64">
        <v>25.99</v>
      </c>
      <c r="G64" t="s">
        <v>266</v>
      </c>
      <c r="H6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$25.99</v>
      </c>
      <c r="I64" t="str">
        <f>LEFT(Table2[[#This Row],[priceWithCurrency]],3)</f>
        <v xml:space="preserve">US </v>
      </c>
      <c r="J64">
        <v>6</v>
      </c>
      <c r="K64" t="str">
        <f>IF(Table2[[#This Row],[Available]]&lt;=50, "Less Stock", "Required stock" )</f>
        <v>Less Stock</v>
      </c>
      <c r="L64">
        <f t="shared" si="0"/>
        <v>1643.2800000000002</v>
      </c>
      <c r="M64" t="s">
        <v>267</v>
      </c>
      <c r="N64">
        <v>1332</v>
      </c>
      <c r="O64" t="s">
        <v>268</v>
      </c>
      <c r="P64" t="str">
        <f>RIGHT(RIGHT(Table2[[#This Row],[last Updated]],12),4)</f>
        <v xml:space="preserve"> PDT</v>
      </c>
      <c r="Q64" t="s">
        <v>269</v>
      </c>
    </row>
    <row r="65" spans="1:17" x14ac:dyDescent="0.25">
      <c r="A65" t="s">
        <v>270</v>
      </c>
      <c r="B65" t="str">
        <f>UPPER(Table2[[#This Row],[Brand]])</f>
        <v>YVES SAINT LAURENT</v>
      </c>
      <c r="C65" t="str">
        <f>LOWER(Table2[[#This Row],[Brand]])</f>
        <v>yves saint laurent</v>
      </c>
      <c r="D65" t="str">
        <f>PROPER(Table2[[#This Row],[Brand]])</f>
        <v>Yves Saint Laurent</v>
      </c>
      <c r="E65" t="s">
        <v>271</v>
      </c>
      <c r="F65">
        <v>60.99</v>
      </c>
      <c r="G65" t="s">
        <v>272</v>
      </c>
      <c r="H6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$60.99</v>
      </c>
      <c r="I65" t="str">
        <f>LEFT(Table2[[#This Row],[priceWithCurrency]],3)</f>
        <v xml:space="preserve">US </v>
      </c>
      <c r="J65">
        <v>2</v>
      </c>
      <c r="K65" t="str">
        <f>IF(Table2[[#This Row],[Available]]&lt;=50, "Less Stock", "Required stock" )</f>
        <v>Less Stock</v>
      </c>
      <c r="L65">
        <f t="shared" si="0"/>
        <v>1673.2700000000002</v>
      </c>
      <c r="M65" t="s">
        <v>273</v>
      </c>
      <c r="N65">
        <v>35</v>
      </c>
      <c r="O65" t="s">
        <v>274</v>
      </c>
      <c r="P65" t="str">
        <f>RIGHT(RIGHT(Table2[[#This Row],[last Updated]],12),4)</f>
        <v xml:space="preserve"> PDT</v>
      </c>
      <c r="Q65" t="s">
        <v>275</v>
      </c>
    </row>
    <row r="66" spans="1:17" x14ac:dyDescent="0.25">
      <c r="A66" t="s">
        <v>270</v>
      </c>
      <c r="B66" t="str">
        <f>UPPER(Table2[[#This Row],[Brand]])</f>
        <v>YVES SAINT LAURENT</v>
      </c>
      <c r="C66" t="str">
        <f>LOWER(Table2[[#This Row],[Brand]])</f>
        <v>yves saint laurent</v>
      </c>
      <c r="D66" t="str">
        <f>PROPER(Table2[[#This Row],[Brand]])</f>
        <v>Yves Saint Laurent</v>
      </c>
      <c r="E66" t="s">
        <v>276</v>
      </c>
      <c r="F66">
        <v>47.88</v>
      </c>
      <c r="G66" t="s">
        <v>277</v>
      </c>
      <c r="H6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$47.88</v>
      </c>
      <c r="I66" t="str">
        <f>LEFT(Table2[[#This Row],[priceWithCurrency]],3)</f>
        <v xml:space="preserve">US </v>
      </c>
      <c r="J66">
        <v>10</v>
      </c>
      <c r="K66" t="str">
        <f>IF(Table2[[#This Row],[Available]]&lt;=50, "Less Stock", "Required stock" )</f>
        <v>Less Stock</v>
      </c>
      <c r="L66">
        <f t="shared" ref="L66:L129" si="1">SUMIF(E66:E146,E110,F110:F1065)</f>
        <v>1718.2100000000003</v>
      </c>
      <c r="M66" t="s">
        <v>278</v>
      </c>
      <c r="N66">
        <v>25</v>
      </c>
      <c r="O66" t="s">
        <v>279</v>
      </c>
      <c r="P66" t="str">
        <f>RIGHT(RIGHT(Table2[[#This Row],[last Updated]],12),4)</f>
        <v xml:space="preserve"> PDT</v>
      </c>
      <c r="Q66" t="s">
        <v>280</v>
      </c>
    </row>
    <row r="67" spans="1:17" x14ac:dyDescent="0.25">
      <c r="A67" t="s">
        <v>180</v>
      </c>
      <c r="B67" t="str">
        <f>UPPER(Table2[[#This Row],[Brand]])</f>
        <v>CALVIN KLEIN</v>
      </c>
      <c r="C67" t="str">
        <f>LOWER(Table2[[#This Row],[Brand]])</f>
        <v>calvin klein</v>
      </c>
      <c r="D67" t="str">
        <f>PROPER(Table2[[#This Row],[Brand]])</f>
        <v>Calvin Klein</v>
      </c>
      <c r="E67" t="s">
        <v>15</v>
      </c>
      <c r="F67">
        <v>31.08</v>
      </c>
      <c r="G67" t="s">
        <v>281</v>
      </c>
      <c r="H6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$31.08</v>
      </c>
      <c r="I67" t="str">
        <f>LEFT(Table2[[#This Row],[priceWithCurrency]],3)</f>
        <v xml:space="preserve">US </v>
      </c>
      <c r="J67">
        <v>842</v>
      </c>
      <c r="K67" t="str">
        <f>IF(Table2[[#This Row],[Available]]&lt;=50, "Less Stock", "Required stock" )</f>
        <v>Required stock</v>
      </c>
      <c r="L67">
        <f t="shared" si="1"/>
        <v>1718.2100000000003</v>
      </c>
      <c r="M67" t="s">
        <v>282</v>
      </c>
      <c r="N67">
        <v>1362</v>
      </c>
      <c r="O67" t="s">
        <v>283</v>
      </c>
      <c r="P67" t="str">
        <f>RIGHT(RIGHT(Table2[[#This Row],[last Updated]],12),4)</f>
        <v xml:space="preserve"> PDT</v>
      </c>
      <c r="Q67" t="s">
        <v>121</v>
      </c>
    </row>
    <row r="68" spans="1:17" x14ac:dyDescent="0.25">
      <c r="A68" t="s">
        <v>90</v>
      </c>
      <c r="B68" t="str">
        <f>UPPER(Table2[[#This Row],[Brand]])</f>
        <v>ARMAF</v>
      </c>
      <c r="C68" t="str">
        <f>LOWER(Table2[[#This Row],[Brand]])</f>
        <v>armaf</v>
      </c>
      <c r="D68" t="str">
        <f>PROPER(Table2[[#This Row],[Brand]])</f>
        <v>Armaf</v>
      </c>
      <c r="E68" t="s">
        <v>26</v>
      </c>
      <c r="F68">
        <v>24.43</v>
      </c>
      <c r="G68" t="s">
        <v>284</v>
      </c>
      <c r="H6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$24.43</v>
      </c>
      <c r="I68" t="str">
        <f>LEFT(Table2[[#This Row],[priceWithCurrency]],3)</f>
        <v xml:space="preserve">US </v>
      </c>
      <c r="K68" t="str">
        <f>IF(Table2[[#This Row],[Available]]&lt;=50, "Less Stock", "Required stock" )</f>
        <v>Less Stock</v>
      </c>
      <c r="L68">
        <f t="shared" si="1"/>
        <v>11.99</v>
      </c>
      <c r="M68" t="s">
        <v>285</v>
      </c>
      <c r="N68">
        <v>110</v>
      </c>
      <c r="O68" t="s">
        <v>286</v>
      </c>
      <c r="P68" t="str">
        <f>RIGHT(RIGHT(Table2[[#This Row],[last Updated]],12),4)</f>
        <v xml:space="preserve"> PDT</v>
      </c>
      <c r="Q68" t="s">
        <v>30</v>
      </c>
    </row>
    <row r="69" spans="1:17" x14ac:dyDescent="0.25">
      <c r="A69" t="s">
        <v>76</v>
      </c>
      <c r="B69" t="str">
        <f>UPPER(Table2[[#This Row],[Brand]])</f>
        <v>VERSACE</v>
      </c>
      <c r="C69" t="str">
        <f>LOWER(Table2[[#This Row],[Brand]])</f>
        <v>versace</v>
      </c>
      <c r="D69" t="str">
        <f>PROPER(Table2[[#This Row],[Brand]])</f>
        <v>Versace</v>
      </c>
      <c r="E69" t="s">
        <v>15</v>
      </c>
      <c r="F69">
        <v>35.99</v>
      </c>
      <c r="G69" t="s">
        <v>287</v>
      </c>
      <c r="H6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$35.99</v>
      </c>
      <c r="I69" t="str">
        <f>LEFT(Table2[[#This Row],[priceWithCurrency]],3)</f>
        <v xml:space="preserve">US </v>
      </c>
      <c r="J69">
        <v>5</v>
      </c>
      <c r="K69" t="str">
        <f>IF(Table2[[#This Row],[Available]]&lt;=50, "Less Stock", "Required stock" )</f>
        <v>Less Stock</v>
      </c>
      <c r="L69">
        <f t="shared" si="1"/>
        <v>1691.2400000000002</v>
      </c>
      <c r="M69" t="s">
        <v>288</v>
      </c>
      <c r="N69">
        <v>221</v>
      </c>
      <c r="O69" t="s">
        <v>289</v>
      </c>
      <c r="P69" t="str">
        <f>RIGHT(RIGHT(Table2[[#This Row],[last Updated]],12),4)</f>
        <v xml:space="preserve"> PDT</v>
      </c>
      <c r="Q69" t="s">
        <v>290</v>
      </c>
    </row>
    <row r="70" spans="1:17" x14ac:dyDescent="0.25">
      <c r="A70" t="s">
        <v>170</v>
      </c>
      <c r="B70" t="str">
        <f>UPPER(Table2[[#This Row],[Brand]])</f>
        <v>RASASI</v>
      </c>
      <c r="C70" t="str">
        <f>LOWER(Table2[[#This Row],[Brand]])</f>
        <v>rasasi</v>
      </c>
      <c r="D70" t="str">
        <f>PROPER(Table2[[#This Row],[Brand]])</f>
        <v>Rasasi</v>
      </c>
      <c r="E70" t="s">
        <v>4</v>
      </c>
      <c r="F70">
        <v>25.99</v>
      </c>
      <c r="G70" t="s">
        <v>291</v>
      </c>
      <c r="H7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$25.99</v>
      </c>
      <c r="I70" t="str">
        <f>LEFT(Table2[[#This Row],[priceWithCurrency]],3)</f>
        <v xml:space="preserve">US </v>
      </c>
      <c r="J70">
        <v>10</v>
      </c>
      <c r="K70" t="str">
        <f>IF(Table2[[#This Row],[Available]]&lt;=50, "Less Stock", "Required stock" )</f>
        <v>Less Stock</v>
      </c>
      <c r="L70">
        <f t="shared" si="1"/>
        <v>972.30000000000007</v>
      </c>
      <c r="M70" t="s">
        <v>292</v>
      </c>
      <c r="N70">
        <v>3</v>
      </c>
      <c r="O70" t="s">
        <v>293</v>
      </c>
      <c r="P70" t="str">
        <f>RIGHT(RIGHT(Table2[[#This Row],[last Updated]],12),4)</f>
        <v xml:space="preserve"> PDT</v>
      </c>
      <c r="Q70" t="s">
        <v>294</v>
      </c>
    </row>
    <row r="71" spans="1:17" x14ac:dyDescent="0.25">
      <c r="A71" t="s">
        <v>56</v>
      </c>
      <c r="B71" t="str">
        <f>UPPER(Table2[[#This Row],[Brand]])</f>
        <v>RALPH LAUREN</v>
      </c>
      <c r="C71" t="str">
        <f>LOWER(Table2[[#This Row],[Brand]])</f>
        <v>ralph lauren</v>
      </c>
      <c r="D71" t="str">
        <f>PROPER(Table2[[#This Row],[Brand]])</f>
        <v>Ralph Lauren</v>
      </c>
      <c r="E71" t="s">
        <v>15</v>
      </c>
      <c r="F71">
        <v>38.57</v>
      </c>
      <c r="G71" t="s">
        <v>295</v>
      </c>
      <c r="H7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$38.57</v>
      </c>
      <c r="I71" t="str">
        <f>LEFT(Table2[[#This Row],[priceWithCurrency]],3)</f>
        <v xml:space="preserve">US </v>
      </c>
      <c r="J71">
        <v>484</v>
      </c>
      <c r="K71" t="str">
        <f>IF(Table2[[#This Row],[Available]]&lt;=50, "Less Stock", "Required stock" )</f>
        <v>Required stock</v>
      </c>
      <c r="L71">
        <f t="shared" si="1"/>
        <v>35.71</v>
      </c>
      <c r="M71" t="s">
        <v>296</v>
      </c>
      <c r="N71">
        <v>1503</v>
      </c>
      <c r="O71" t="s">
        <v>297</v>
      </c>
      <c r="P71" t="str">
        <f>RIGHT(RIGHT(Table2[[#This Row],[last Updated]],12),4)</f>
        <v xml:space="preserve"> PDT</v>
      </c>
      <c r="Q71" t="s">
        <v>121</v>
      </c>
    </row>
    <row r="72" spans="1:17" x14ac:dyDescent="0.25">
      <c r="A72" t="s">
        <v>126</v>
      </c>
      <c r="B72" t="str">
        <f>UPPER(Table2[[#This Row],[Brand]])</f>
        <v>AZZARO</v>
      </c>
      <c r="C72" t="str">
        <f>LOWER(Table2[[#This Row],[Brand]])</f>
        <v>azzaro</v>
      </c>
      <c r="D72" t="str">
        <f>PROPER(Table2[[#This Row],[Brand]])</f>
        <v>Azzaro</v>
      </c>
      <c r="E72" t="s">
        <v>15</v>
      </c>
      <c r="F72">
        <v>24.45</v>
      </c>
      <c r="G72" t="s">
        <v>298</v>
      </c>
      <c r="H7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$24.45</v>
      </c>
      <c r="I72" t="str">
        <f>LEFT(Table2[[#This Row],[priceWithCurrency]],3)</f>
        <v xml:space="preserve">US </v>
      </c>
      <c r="K72" t="str">
        <f>IF(Table2[[#This Row],[Available]]&lt;=50, "Less Stock", "Required stock" )</f>
        <v>Less Stock</v>
      </c>
      <c r="L72">
        <f t="shared" si="1"/>
        <v>1573.2300000000002</v>
      </c>
      <c r="M72" t="s">
        <v>299</v>
      </c>
      <c r="N72">
        <v>1691</v>
      </c>
      <c r="O72" t="s">
        <v>300</v>
      </c>
      <c r="P72" t="str">
        <f>RIGHT(RIGHT(Table2[[#This Row],[last Updated]],12),4)</f>
        <v xml:space="preserve"> PDT</v>
      </c>
      <c r="Q72" t="s">
        <v>121</v>
      </c>
    </row>
    <row r="73" spans="1:17" x14ac:dyDescent="0.25">
      <c r="A73" t="s">
        <v>126</v>
      </c>
      <c r="B73" t="str">
        <f>UPPER(Table2[[#This Row],[Brand]])</f>
        <v>AZZARO</v>
      </c>
      <c r="C73" t="str">
        <f>LOWER(Table2[[#This Row],[Brand]])</f>
        <v>azzaro</v>
      </c>
      <c r="D73" t="str">
        <f>PROPER(Table2[[#This Row],[Brand]])</f>
        <v>Azzaro</v>
      </c>
      <c r="E73" t="s">
        <v>15</v>
      </c>
      <c r="F73">
        <v>16.260000000000002</v>
      </c>
      <c r="G73" t="s">
        <v>301</v>
      </c>
      <c r="H7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$16.26</v>
      </c>
      <c r="I73" t="str">
        <f>LEFT(Table2[[#This Row],[priceWithCurrency]],3)</f>
        <v xml:space="preserve">US </v>
      </c>
      <c r="J73">
        <v>12</v>
      </c>
      <c r="K73" t="str">
        <f>IF(Table2[[#This Row],[Available]]&lt;=50, "Less Stock", "Required stock" )</f>
        <v>Less Stock</v>
      </c>
      <c r="L73">
        <f t="shared" si="1"/>
        <v>1593.2300000000002</v>
      </c>
      <c r="M73" t="s">
        <v>302</v>
      </c>
      <c r="N73">
        <v>644</v>
      </c>
      <c r="O73" t="s">
        <v>303</v>
      </c>
      <c r="P73" t="str">
        <f>RIGHT(RIGHT(Table2[[#This Row],[last Updated]],12),4)</f>
        <v xml:space="preserve"> PDT</v>
      </c>
      <c r="Q73" t="s">
        <v>121</v>
      </c>
    </row>
    <row r="74" spans="1:17" x14ac:dyDescent="0.25">
      <c r="A74" t="s">
        <v>56</v>
      </c>
      <c r="B74" t="str">
        <f>UPPER(Table2[[#This Row],[Brand]])</f>
        <v>RALPH LAUREN</v>
      </c>
      <c r="C74" t="str">
        <f>LOWER(Table2[[#This Row],[Brand]])</f>
        <v>ralph lauren</v>
      </c>
      <c r="D74" t="str">
        <f>PROPER(Table2[[#This Row],[Brand]])</f>
        <v>Ralph Lauren</v>
      </c>
      <c r="E74" t="s">
        <v>15</v>
      </c>
      <c r="F74">
        <v>22.5</v>
      </c>
      <c r="G74" t="s">
        <v>304</v>
      </c>
      <c r="H7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$22.50</v>
      </c>
      <c r="I74" t="str">
        <f>LEFT(Table2[[#This Row],[priceWithCurrency]],3)</f>
        <v xml:space="preserve">US </v>
      </c>
      <c r="J74">
        <v>10</v>
      </c>
      <c r="K74" t="str">
        <f>IF(Table2[[#This Row],[Available]]&lt;=50, "Less Stock", "Required stock" )</f>
        <v>Less Stock</v>
      </c>
      <c r="L74">
        <f t="shared" si="1"/>
        <v>359.25</v>
      </c>
      <c r="M74" t="s">
        <v>305</v>
      </c>
      <c r="N74">
        <v>2</v>
      </c>
      <c r="P74" t="str">
        <f>RIGHT(RIGHT(Table2[[#This Row],[last Updated]],12),4)</f>
        <v/>
      </c>
      <c r="Q74" t="s">
        <v>306</v>
      </c>
    </row>
    <row r="75" spans="1:17" x14ac:dyDescent="0.25">
      <c r="A75" t="s">
        <v>25</v>
      </c>
      <c r="B75" t="str">
        <f>UPPER(Table2[[#This Row],[Brand]])</f>
        <v>LATTAFA</v>
      </c>
      <c r="C75" t="str">
        <f>LOWER(Table2[[#This Row],[Brand]])</f>
        <v>lattafa</v>
      </c>
      <c r="D75" t="str">
        <f>PROPER(Table2[[#This Row],[Brand]])</f>
        <v>Lattafa</v>
      </c>
      <c r="E75" t="s">
        <v>26</v>
      </c>
      <c r="F75">
        <v>15.03</v>
      </c>
      <c r="G75" t="s">
        <v>307</v>
      </c>
      <c r="H7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$15.03</v>
      </c>
      <c r="I75" t="str">
        <f>LEFT(Table2[[#This Row],[priceWithCurrency]],3)</f>
        <v xml:space="preserve">US </v>
      </c>
      <c r="J75">
        <v>3</v>
      </c>
      <c r="K75" t="str">
        <f>IF(Table2[[#This Row],[Available]]&lt;=50, "Less Stock", "Required stock" )</f>
        <v>Less Stock</v>
      </c>
      <c r="L75">
        <f t="shared" si="1"/>
        <v>1548.3300000000002</v>
      </c>
      <c r="M75" t="s">
        <v>308</v>
      </c>
      <c r="N75">
        <v>44</v>
      </c>
      <c r="O75" t="s">
        <v>309</v>
      </c>
      <c r="P75" t="str">
        <f>RIGHT(RIGHT(Table2[[#This Row],[last Updated]],12),4)</f>
        <v xml:space="preserve"> PDT</v>
      </c>
      <c r="Q75" t="s">
        <v>30</v>
      </c>
    </row>
    <row r="76" spans="1:17" x14ac:dyDescent="0.25">
      <c r="A76" t="s">
        <v>76</v>
      </c>
      <c r="B76" t="str">
        <f>UPPER(Table2[[#This Row],[Brand]])</f>
        <v>VERSACE</v>
      </c>
      <c r="C76" t="str">
        <f>LOWER(Table2[[#This Row],[Brand]])</f>
        <v>versace</v>
      </c>
      <c r="D76" t="str">
        <f>PROPER(Table2[[#This Row],[Brand]])</f>
        <v>Versace</v>
      </c>
      <c r="E76" t="s">
        <v>15</v>
      </c>
      <c r="F76">
        <v>8.32</v>
      </c>
      <c r="G76" t="s">
        <v>310</v>
      </c>
      <c r="H7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$8.32</v>
      </c>
      <c r="I76" t="str">
        <f>LEFT(Table2[[#This Row],[priceWithCurrency]],3)</f>
        <v xml:space="preserve">US </v>
      </c>
      <c r="J76">
        <v>322</v>
      </c>
      <c r="K76" t="str">
        <f>IF(Table2[[#This Row],[Available]]&lt;=50, "Less Stock", "Required stock" )</f>
        <v>Required stock</v>
      </c>
      <c r="L76">
        <f t="shared" si="1"/>
        <v>896.09000000000015</v>
      </c>
      <c r="M76" t="s">
        <v>311</v>
      </c>
      <c r="N76">
        <v>417</v>
      </c>
      <c r="O76" t="s">
        <v>312</v>
      </c>
      <c r="P76" t="str">
        <f>RIGHT(RIGHT(Table2[[#This Row],[last Updated]],12),4)</f>
        <v xml:space="preserve"> PDT</v>
      </c>
      <c r="Q76" t="s">
        <v>121</v>
      </c>
    </row>
    <row r="77" spans="1:17" x14ac:dyDescent="0.25">
      <c r="A77" t="s">
        <v>20</v>
      </c>
      <c r="B77" t="str">
        <f>UPPER(Table2[[#This Row],[Brand]])</f>
        <v>GIORGIO ARMANI</v>
      </c>
      <c r="C77" t="str">
        <f>LOWER(Table2[[#This Row],[Brand]])</f>
        <v>giorgio armani</v>
      </c>
      <c r="D77" t="str">
        <f>PROPER(Table2[[#This Row],[Brand]])</f>
        <v>Giorgio Armani</v>
      </c>
      <c r="E77" t="s">
        <v>15</v>
      </c>
      <c r="F77">
        <v>37.799999999999997</v>
      </c>
      <c r="G77" t="s">
        <v>313</v>
      </c>
      <c r="H7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$37.80</v>
      </c>
      <c r="I77" t="str">
        <f>LEFT(Table2[[#This Row],[priceWithCurrency]],3)</f>
        <v xml:space="preserve">US </v>
      </c>
      <c r="J77">
        <v>8</v>
      </c>
      <c r="K77" t="str">
        <f>IF(Table2[[#This Row],[Available]]&lt;=50, "Less Stock", "Required stock" )</f>
        <v>Less Stock</v>
      </c>
      <c r="L77">
        <f t="shared" si="1"/>
        <v>66.180000000000007</v>
      </c>
      <c r="M77" t="s">
        <v>314</v>
      </c>
      <c r="N77">
        <v>300</v>
      </c>
      <c r="O77" t="s">
        <v>315</v>
      </c>
      <c r="P77" t="str">
        <f>RIGHT(RIGHT(Table2[[#This Row],[last Updated]],12),4)</f>
        <v xml:space="preserve"> PDT</v>
      </c>
      <c r="Q77" t="s">
        <v>316</v>
      </c>
    </row>
    <row r="78" spans="1:17" x14ac:dyDescent="0.25">
      <c r="A78" t="s">
        <v>180</v>
      </c>
      <c r="B78" t="str">
        <f>UPPER(Table2[[#This Row],[Brand]])</f>
        <v>CALVIN KLEIN</v>
      </c>
      <c r="C78" t="str">
        <f>LOWER(Table2[[#This Row],[Brand]])</f>
        <v>calvin klein</v>
      </c>
      <c r="D78" t="str">
        <f>PROPER(Table2[[#This Row],[Brand]])</f>
        <v>Calvin Klein</v>
      </c>
      <c r="E78" t="s">
        <v>15</v>
      </c>
      <c r="F78">
        <v>23.56</v>
      </c>
      <c r="G78" t="s">
        <v>317</v>
      </c>
      <c r="H7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$23.56</v>
      </c>
      <c r="I78" t="str">
        <f>LEFT(Table2[[#This Row],[priceWithCurrency]],3)</f>
        <v xml:space="preserve">US </v>
      </c>
      <c r="K78" t="str">
        <f>IF(Table2[[#This Row],[Available]]&lt;=50, "Less Stock", "Required stock" )</f>
        <v>Less Stock</v>
      </c>
      <c r="L78">
        <f t="shared" si="1"/>
        <v>896.09000000000015</v>
      </c>
      <c r="M78" t="s">
        <v>318</v>
      </c>
      <c r="N78">
        <v>24048</v>
      </c>
      <c r="O78" t="s">
        <v>319</v>
      </c>
      <c r="P78" t="str">
        <f>RIGHT(RIGHT(Table2[[#This Row],[last Updated]],12),4)</f>
        <v xml:space="preserve"> PDT</v>
      </c>
      <c r="Q78" t="s">
        <v>121</v>
      </c>
    </row>
    <row r="79" spans="1:17" x14ac:dyDescent="0.25">
      <c r="A79" t="s">
        <v>162</v>
      </c>
      <c r="B79" t="str">
        <f>UPPER(Table2[[#This Row],[Brand]])</f>
        <v>GUY LAROCHE</v>
      </c>
      <c r="C79" t="str">
        <f>LOWER(Table2[[#This Row],[Brand]])</f>
        <v>guy laroche</v>
      </c>
      <c r="D79" t="str">
        <f>PROPER(Table2[[#This Row],[Brand]])</f>
        <v>Guy Laroche</v>
      </c>
      <c r="E79" t="s">
        <v>15</v>
      </c>
      <c r="F79">
        <v>27.59</v>
      </c>
      <c r="G79" t="s">
        <v>320</v>
      </c>
      <c r="H7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$27.59</v>
      </c>
      <c r="I79" t="str">
        <f>LEFT(Table2[[#This Row],[priceWithCurrency]],3)</f>
        <v xml:space="preserve">US </v>
      </c>
      <c r="J79">
        <v>323</v>
      </c>
      <c r="K79" t="str">
        <f>IF(Table2[[#This Row],[Available]]&lt;=50, "Less Stock", "Required stock" )</f>
        <v>Required stock</v>
      </c>
      <c r="L79">
        <f t="shared" si="1"/>
        <v>1391.8500000000001</v>
      </c>
      <c r="M79" t="s">
        <v>321</v>
      </c>
      <c r="N79">
        <v>4972</v>
      </c>
      <c r="O79" t="s">
        <v>322</v>
      </c>
      <c r="P79" t="str">
        <f>RIGHT(RIGHT(Table2[[#This Row],[last Updated]],12),4)</f>
        <v xml:space="preserve"> PDT</v>
      </c>
      <c r="Q79" t="s">
        <v>121</v>
      </c>
    </row>
    <row r="80" spans="1:17" x14ac:dyDescent="0.25">
      <c r="A80" t="s">
        <v>56</v>
      </c>
      <c r="B80" t="str">
        <f>UPPER(Table2[[#This Row],[Brand]])</f>
        <v>RALPH LAUREN</v>
      </c>
      <c r="C80" t="str">
        <f>LOWER(Table2[[#This Row],[Brand]])</f>
        <v>ralph lauren</v>
      </c>
      <c r="D80" t="str">
        <f>PROPER(Table2[[#This Row],[Brand]])</f>
        <v>Ralph Lauren</v>
      </c>
      <c r="E80" t="s">
        <v>15</v>
      </c>
      <c r="F80">
        <v>26.5</v>
      </c>
      <c r="G80" t="s">
        <v>323</v>
      </c>
      <c r="H8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$26.50</v>
      </c>
      <c r="I80" t="str">
        <f>LEFT(Table2[[#This Row],[priceWithCurrency]],3)</f>
        <v xml:space="preserve">US </v>
      </c>
      <c r="J80">
        <v>3</v>
      </c>
      <c r="K80" t="str">
        <f>IF(Table2[[#This Row],[Available]]&lt;=50, "Less Stock", "Required stock" )</f>
        <v>Less Stock</v>
      </c>
      <c r="L80">
        <f t="shared" si="1"/>
        <v>1332.8600000000001</v>
      </c>
      <c r="M80" t="s">
        <v>324</v>
      </c>
      <c r="N80">
        <v>3</v>
      </c>
      <c r="O80" t="s">
        <v>325</v>
      </c>
      <c r="P80" t="str">
        <f>RIGHT(RIGHT(Table2[[#This Row],[last Updated]],12),4)</f>
        <v xml:space="preserve"> PDT</v>
      </c>
      <c r="Q80" t="s">
        <v>326</v>
      </c>
    </row>
    <row r="81" spans="1:17" x14ac:dyDescent="0.25">
      <c r="A81" t="s">
        <v>61</v>
      </c>
      <c r="B81" t="str">
        <f>UPPER(Table2[[#This Row],[Brand]])</f>
        <v>DOLCE&amp;GABBANA</v>
      </c>
      <c r="C81" t="str">
        <f>LOWER(Table2[[#This Row],[Brand]])</f>
        <v>dolce&amp;gabbana</v>
      </c>
      <c r="D81" t="str">
        <f>PROPER(Table2[[#This Row],[Brand]])</f>
        <v>Dolce&amp;Gabbana</v>
      </c>
      <c r="E81" t="s">
        <v>4</v>
      </c>
      <c r="F81">
        <v>35.71</v>
      </c>
      <c r="G81" t="s">
        <v>327</v>
      </c>
      <c r="H8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$35.71</v>
      </c>
      <c r="I81" t="str">
        <f>LEFT(Table2[[#This Row],[priceWithCurrency]],3)</f>
        <v xml:space="preserve">US </v>
      </c>
      <c r="J81">
        <v>3</v>
      </c>
      <c r="K81" t="str">
        <f>IF(Table2[[#This Row],[Available]]&lt;=50, "Less Stock", "Required stock" )</f>
        <v>Less Stock</v>
      </c>
      <c r="L81">
        <f t="shared" si="1"/>
        <v>1316.7600000000002</v>
      </c>
      <c r="M81" t="s">
        <v>328</v>
      </c>
      <c r="N81">
        <v>36</v>
      </c>
      <c r="O81" t="s">
        <v>329</v>
      </c>
      <c r="P81" t="str">
        <f>RIGHT(RIGHT(Table2[[#This Row],[last Updated]],12),4)</f>
        <v xml:space="preserve"> PDT</v>
      </c>
      <c r="Q81" t="s">
        <v>30</v>
      </c>
    </row>
    <row r="82" spans="1:17" x14ac:dyDescent="0.25">
      <c r="A82" t="s">
        <v>14</v>
      </c>
      <c r="B82" t="str">
        <f>UPPER(Table2[[#This Row],[Brand]])</f>
        <v>UNBRANDED</v>
      </c>
      <c r="C82" t="str">
        <f>LOWER(Table2[[#This Row],[Brand]])</f>
        <v>unbranded</v>
      </c>
      <c r="D82" t="str">
        <f>PROPER(Table2[[#This Row],[Brand]])</f>
        <v>Unbranded</v>
      </c>
      <c r="E82" t="s">
        <v>32</v>
      </c>
      <c r="F82">
        <v>15.99</v>
      </c>
      <c r="G82" t="s">
        <v>67</v>
      </c>
      <c r="H8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$15.99</v>
      </c>
      <c r="I82" t="str">
        <f>LEFT(Table2[[#This Row],[priceWithCurrency]],3)</f>
        <v xml:space="preserve">US </v>
      </c>
      <c r="J82">
        <v>10</v>
      </c>
      <c r="K82" t="str">
        <f>IF(Table2[[#This Row],[Available]]&lt;=50, "Less Stock", "Required stock" )</f>
        <v>Less Stock</v>
      </c>
      <c r="L82">
        <f t="shared" si="1"/>
        <v>909.1600000000002</v>
      </c>
      <c r="M82" t="s">
        <v>330</v>
      </c>
      <c r="N82">
        <v>594</v>
      </c>
      <c r="O82" t="s">
        <v>331</v>
      </c>
      <c r="P82" t="str">
        <f>RIGHT(RIGHT(Table2[[#This Row],[last Updated]],12),4)</f>
        <v xml:space="preserve"> PDT</v>
      </c>
      <c r="Q82" t="s">
        <v>36</v>
      </c>
    </row>
    <row r="83" spans="1:17" x14ac:dyDescent="0.25">
      <c r="A83" t="s">
        <v>180</v>
      </c>
      <c r="B83" t="str">
        <f>UPPER(Table2[[#This Row],[Brand]])</f>
        <v>CALVIN KLEIN</v>
      </c>
      <c r="C83" t="str">
        <f>LOWER(Table2[[#This Row],[Brand]])</f>
        <v>calvin klein</v>
      </c>
      <c r="D83" t="str">
        <f>PROPER(Table2[[#This Row],[Brand]])</f>
        <v>Calvin Klein</v>
      </c>
      <c r="F83">
        <v>23.89</v>
      </c>
      <c r="G83" t="s">
        <v>332</v>
      </c>
      <c r="H8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$23.89</v>
      </c>
      <c r="I83" t="str">
        <f>LEFT(Table2[[#This Row],[priceWithCurrency]],3)</f>
        <v xml:space="preserve">US </v>
      </c>
      <c r="K83" t="str">
        <f>IF(Table2[[#This Row],[Available]]&lt;=50, "Less Stock", "Required stock" )</f>
        <v>Less Stock</v>
      </c>
      <c r="L83">
        <f t="shared" si="1"/>
        <v>1380.7500000000002</v>
      </c>
      <c r="M83" t="s">
        <v>333</v>
      </c>
      <c r="N83">
        <v>54052</v>
      </c>
      <c r="O83" t="s">
        <v>334</v>
      </c>
      <c r="P83" t="str">
        <f>RIGHT(RIGHT(Table2[[#This Row],[last Updated]],12),4)</f>
        <v xml:space="preserve"> PDT</v>
      </c>
      <c r="Q83" t="s">
        <v>108</v>
      </c>
    </row>
    <row r="84" spans="1:17" x14ac:dyDescent="0.25">
      <c r="A84" t="s">
        <v>335</v>
      </c>
      <c r="B84" t="str">
        <f>UPPER(Table2[[#This Row],[Brand]])</f>
        <v>COLOGNE</v>
      </c>
      <c r="C84" t="str">
        <f>LOWER(Table2[[#This Row],[Brand]])</f>
        <v>cologne</v>
      </c>
      <c r="D84" t="str">
        <f>PROPER(Table2[[#This Row],[Brand]])</f>
        <v>Cologne</v>
      </c>
      <c r="E84" t="s">
        <v>4</v>
      </c>
      <c r="F84">
        <v>10.99</v>
      </c>
      <c r="G84" t="s">
        <v>336</v>
      </c>
      <c r="H8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$10.99</v>
      </c>
      <c r="I84" t="str">
        <f>LEFT(Table2[[#This Row],[priceWithCurrency]],3)</f>
        <v xml:space="preserve">US </v>
      </c>
      <c r="J84">
        <v>10</v>
      </c>
      <c r="K84" t="str">
        <f>IF(Table2[[#This Row],[Available]]&lt;=50, "Less Stock", "Required stock" )</f>
        <v>Less Stock</v>
      </c>
      <c r="L84">
        <f t="shared" si="1"/>
        <v>1380.7500000000002</v>
      </c>
      <c r="M84" t="s">
        <v>337</v>
      </c>
      <c r="N84">
        <v>179</v>
      </c>
      <c r="O84" t="s">
        <v>338</v>
      </c>
      <c r="P84" t="str">
        <f>RIGHT(RIGHT(Table2[[#This Row],[last Updated]],12),4)</f>
        <v xml:space="preserve"> PDT</v>
      </c>
      <c r="Q84" t="s">
        <v>131</v>
      </c>
    </row>
    <row r="85" spans="1:17" x14ac:dyDescent="0.25">
      <c r="A85" t="s">
        <v>20</v>
      </c>
      <c r="B85" t="str">
        <f>UPPER(Table2[[#This Row],[Brand]])</f>
        <v>GIORGIO ARMANI</v>
      </c>
      <c r="C85" t="str">
        <f>LOWER(Table2[[#This Row],[Brand]])</f>
        <v>giorgio armani</v>
      </c>
      <c r="D85" t="str">
        <f>PROPER(Table2[[#This Row],[Brand]])</f>
        <v>Giorgio Armani</v>
      </c>
      <c r="E85" t="s">
        <v>4</v>
      </c>
      <c r="F85">
        <v>70.989999999999995</v>
      </c>
      <c r="G85" t="s">
        <v>339</v>
      </c>
      <c r="H8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$70.99</v>
      </c>
      <c r="I85" t="str">
        <f>LEFT(Table2[[#This Row],[priceWithCurrency]],3)</f>
        <v xml:space="preserve">US </v>
      </c>
      <c r="J85">
        <v>2</v>
      </c>
      <c r="K85" t="str">
        <f>IF(Table2[[#This Row],[Available]]&lt;=50, "Less Stock", "Required stock" )</f>
        <v>Less Stock</v>
      </c>
      <c r="L85">
        <f t="shared" si="1"/>
        <v>898.1600000000002</v>
      </c>
      <c r="M85" t="s">
        <v>340</v>
      </c>
      <c r="N85">
        <v>52</v>
      </c>
      <c r="O85" t="s">
        <v>341</v>
      </c>
      <c r="P85" t="str">
        <f>RIGHT(RIGHT(Table2[[#This Row],[last Updated]],12),4)</f>
        <v xml:space="preserve"> PDT</v>
      </c>
      <c r="Q85" t="s">
        <v>342</v>
      </c>
    </row>
    <row r="86" spans="1:17" x14ac:dyDescent="0.25">
      <c r="A86" t="s">
        <v>14</v>
      </c>
      <c r="B86" t="str">
        <f>UPPER(Table2[[#This Row],[Brand]])</f>
        <v>UNBRANDED</v>
      </c>
      <c r="C86" t="str">
        <f>LOWER(Table2[[#This Row],[Brand]])</f>
        <v>unbranded</v>
      </c>
      <c r="D86" t="str">
        <f>PROPER(Table2[[#This Row],[Brand]])</f>
        <v>Unbranded</v>
      </c>
      <c r="E86" t="s">
        <v>32</v>
      </c>
      <c r="F86">
        <v>16.989999999999998</v>
      </c>
      <c r="G86" t="s">
        <v>343</v>
      </c>
      <c r="H8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$16.99</v>
      </c>
      <c r="I86" t="str">
        <f>LEFT(Table2[[#This Row],[priceWithCurrency]],3)</f>
        <v xml:space="preserve">US </v>
      </c>
      <c r="J86">
        <v>10</v>
      </c>
      <c r="K86" t="str">
        <f>IF(Table2[[#This Row],[Available]]&lt;=50, "Less Stock", "Required stock" )</f>
        <v>Less Stock</v>
      </c>
      <c r="L86">
        <f t="shared" si="1"/>
        <v>152.5</v>
      </c>
      <c r="M86" t="s">
        <v>344</v>
      </c>
      <c r="N86">
        <v>404</v>
      </c>
      <c r="O86" t="s">
        <v>345</v>
      </c>
      <c r="P86" t="str">
        <f>RIGHT(RIGHT(Table2[[#This Row],[last Updated]],12),4)</f>
        <v xml:space="preserve"> PDT</v>
      </c>
      <c r="Q86" t="s">
        <v>346</v>
      </c>
    </row>
    <row r="87" spans="1:17" x14ac:dyDescent="0.25">
      <c r="A87" t="s">
        <v>347</v>
      </c>
      <c r="B87" t="str">
        <f>UPPER(Table2[[#This Row],[Brand]])</f>
        <v>AS SHOWN</v>
      </c>
      <c r="C87" t="str">
        <f>LOWER(Table2[[#This Row],[Brand]])</f>
        <v>as shown</v>
      </c>
      <c r="D87" t="str">
        <f>PROPER(Table2[[#This Row],[Brand]])</f>
        <v>As Shown</v>
      </c>
      <c r="E87" t="s">
        <v>4</v>
      </c>
      <c r="F87">
        <v>126.99</v>
      </c>
      <c r="G87" t="s">
        <v>348</v>
      </c>
      <c r="H8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$126.99</v>
      </c>
      <c r="I87" t="str">
        <f>LEFT(Table2[[#This Row],[priceWithCurrency]],3)</f>
        <v xml:space="preserve">US </v>
      </c>
      <c r="K87" t="str">
        <f>IF(Table2[[#This Row],[Available]]&lt;=50, "Less Stock", "Required stock" )</f>
        <v>Less Stock</v>
      </c>
      <c r="L87">
        <f t="shared" si="1"/>
        <v>1590.6100000000004</v>
      </c>
      <c r="M87" t="s">
        <v>349</v>
      </c>
      <c r="N87">
        <v>32</v>
      </c>
      <c r="O87" t="s">
        <v>350</v>
      </c>
      <c r="P87" t="str">
        <f>RIGHT(RIGHT(Table2[[#This Row],[last Updated]],12),4)</f>
        <v xml:space="preserve"> PDT</v>
      </c>
      <c r="Q87" t="s">
        <v>351</v>
      </c>
    </row>
    <row r="88" spans="1:17" x14ac:dyDescent="0.25">
      <c r="A88" t="s">
        <v>352</v>
      </c>
      <c r="B88" t="str">
        <f>UPPER(Table2[[#This Row],[Brand]])</f>
        <v>ROJA</v>
      </c>
      <c r="C88" t="str">
        <f>LOWER(Table2[[#This Row],[Brand]])</f>
        <v>roja</v>
      </c>
      <c r="D88" t="str">
        <f>PROPER(Table2[[#This Row],[Brand]])</f>
        <v>Roja</v>
      </c>
      <c r="E88" t="s">
        <v>26</v>
      </c>
      <c r="F88">
        <v>159.99</v>
      </c>
      <c r="G88" t="s">
        <v>353</v>
      </c>
      <c r="H8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$159.99</v>
      </c>
      <c r="I88" t="str">
        <f>LEFT(Table2[[#This Row],[priceWithCurrency]],3)</f>
        <v xml:space="preserve">US </v>
      </c>
      <c r="J88">
        <v>10</v>
      </c>
      <c r="K88" t="str">
        <f>IF(Table2[[#This Row],[Available]]&lt;=50, "Less Stock", "Required stock" )</f>
        <v>Less Stock</v>
      </c>
      <c r="L88">
        <f t="shared" si="1"/>
        <v>66.180000000000007</v>
      </c>
      <c r="M88" t="s">
        <v>354</v>
      </c>
      <c r="N88">
        <v>30</v>
      </c>
      <c r="O88" t="s">
        <v>355</v>
      </c>
      <c r="P88" t="str">
        <f>RIGHT(RIGHT(Table2[[#This Row],[last Updated]],12),4)</f>
        <v xml:space="preserve"> PDT</v>
      </c>
      <c r="Q88" t="s">
        <v>356</v>
      </c>
    </row>
    <row r="89" spans="1:17" x14ac:dyDescent="0.25">
      <c r="A89" t="s">
        <v>357</v>
      </c>
      <c r="B89" t="str">
        <f>UPPER(Table2[[#This Row],[Brand]])</f>
        <v>METAHERBAL LABS</v>
      </c>
      <c r="C89" t="str">
        <f>LOWER(Table2[[#This Row],[Brand]])</f>
        <v>metaherbal labs</v>
      </c>
      <c r="D89" t="str">
        <f>PROPER(Table2[[#This Row],[Brand]])</f>
        <v>Metaherbal Labs</v>
      </c>
      <c r="E89" t="s">
        <v>358</v>
      </c>
      <c r="F89">
        <v>39.950000000000003</v>
      </c>
      <c r="G89" t="s">
        <v>359</v>
      </c>
      <c r="H8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$39.95</v>
      </c>
      <c r="I89" t="str">
        <f>LEFT(Table2[[#This Row],[priceWithCurrency]],3)</f>
        <v xml:space="preserve">US </v>
      </c>
      <c r="J89">
        <v>10</v>
      </c>
      <c r="K89" t="str">
        <f>IF(Table2[[#This Row],[Available]]&lt;=50, "Less Stock", "Required stock" )</f>
        <v>Less Stock</v>
      </c>
      <c r="L89">
        <f t="shared" si="1"/>
        <v>233.62</v>
      </c>
      <c r="M89" t="s">
        <v>360</v>
      </c>
      <c r="N89">
        <v>353</v>
      </c>
      <c r="O89" t="s">
        <v>361</v>
      </c>
      <c r="P89" t="str">
        <f>RIGHT(RIGHT(Table2[[#This Row],[last Updated]],12),4)</f>
        <v xml:space="preserve"> PDT</v>
      </c>
      <c r="Q89" t="s">
        <v>362</v>
      </c>
    </row>
    <row r="90" spans="1:17" x14ac:dyDescent="0.25">
      <c r="A90" t="s">
        <v>363</v>
      </c>
      <c r="B90" t="str">
        <f>UPPER(Table2[[#This Row],[Brand]])</f>
        <v>MIRAGE BRANDS</v>
      </c>
      <c r="C90" t="str">
        <f>LOWER(Table2[[#This Row],[Brand]])</f>
        <v>mirage brands</v>
      </c>
      <c r="D90" t="str">
        <f>PROPER(Table2[[#This Row],[Brand]])</f>
        <v>Mirage Brands</v>
      </c>
      <c r="E90" t="s">
        <v>15</v>
      </c>
      <c r="F90">
        <v>13.66</v>
      </c>
      <c r="G90" t="s">
        <v>364</v>
      </c>
      <c r="H9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$13.66</v>
      </c>
      <c r="I90" t="str">
        <f>LEFT(Table2[[#This Row],[priceWithCurrency]],3)</f>
        <v xml:space="preserve">US </v>
      </c>
      <c r="J90">
        <v>10</v>
      </c>
      <c r="K90" t="str">
        <f>IF(Table2[[#This Row],[Available]]&lt;=50, "Less Stock", "Required stock" )</f>
        <v>Less Stock</v>
      </c>
      <c r="L90">
        <f t="shared" si="1"/>
        <v>1690.6000000000004</v>
      </c>
      <c r="M90" t="s">
        <v>365</v>
      </c>
      <c r="N90">
        <v>552</v>
      </c>
      <c r="O90" t="s">
        <v>366</v>
      </c>
      <c r="P90" t="str">
        <f>RIGHT(RIGHT(Table2[[#This Row],[last Updated]],12),4)</f>
        <v xml:space="preserve"> PDT</v>
      </c>
      <c r="Q90" t="s">
        <v>367</v>
      </c>
    </row>
    <row r="91" spans="1:17" x14ac:dyDescent="0.25">
      <c r="A91" t="s">
        <v>95</v>
      </c>
      <c r="B91" t="str">
        <f>UPPER(Table2[[#This Row],[Brand]])</f>
        <v>CAROLINA HERRERA</v>
      </c>
      <c r="C91" t="str">
        <f>LOWER(Table2[[#This Row],[Brand]])</f>
        <v>carolina herrera</v>
      </c>
      <c r="D91" t="str">
        <f>PROPER(Table2[[#This Row],[Brand]])</f>
        <v>Carolina Herrera</v>
      </c>
      <c r="E91" t="s">
        <v>15</v>
      </c>
      <c r="F91">
        <v>54.99</v>
      </c>
      <c r="G91" t="s">
        <v>368</v>
      </c>
      <c r="H9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$54.99</v>
      </c>
      <c r="I91" t="str">
        <f>LEFT(Table2[[#This Row],[priceWithCurrency]],3)</f>
        <v xml:space="preserve">US </v>
      </c>
      <c r="J91">
        <v>10</v>
      </c>
      <c r="K91" t="str">
        <f>IF(Table2[[#This Row],[Available]]&lt;=50, "Less Stock", "Required stock" )</f>
        <v>Less Stock</v>
      </c>
      <c r="L91">
        <f t="shared" si="1"/>
        <v>918.02000000000021</v>
      </c>
      <c r="M91" t="s">
        <v>369</v>
      </c>
      <c r="N91">
        <v>780</v>
      </c>
      <c r="O91" t="s">
        <v>370</v>
      </c>
      <c r="P91" t="str">
        <f>RIGHT(RIGHT(Table2[[#This Row],[last Updated]],12),4)</f>
        <v xml:space="preserve"> PDT</v>
      </c>
      <c r="Q91" t="s">
        <v>131</v>
      </c>
    </row>
    <row r="92" spans="1:17" x14ac:dyDescent="0.25">
      <c r="A92" t="s">
        <v>14</v>
      </c>
      <c r="B92" t="str">
        <f>UPPER(Table2[[#This Row],[Brand]])</f>
        <v>UNBRANDED</v>
      </c>
      <c r="C92" t="str">
        <f>LOWER(Table2[[#This Row],[Brand]])</f>
        <v>unbranded</v>
      </c>
      <c r="D92" t="str">
        <f>PROPER(Table2[[#This Row],[Brand]])</f>
        <v>Unbranded</v>
      </c>
      <c r="E92" t="s">
        <v>32</v>
      </c>
      <c r="F92">
        <v>14.99</v>
      </c>
      <c r="G92" t="s">
        <v>33</v>
      </c>
      <c r="H9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$14.99</v>
      </c>
      <c r="I92" t="str">
        <f>LEFT(Table2[[#This Row],[priceWithCurrency]],3)</f>
        <v xml:space="preserve">US </v>
      </c>
      <c r="J92">
        <v>10</v>
      </c>
      <c r="K92" t="str">
        <f>IF(Table2[[#This Row],[Available]]&lt;=50, "Less Stock", "Required stock" )</f>
        <v>Less Stock</v>
      </c>
      <c r="L92">
        <f t="shared" si="1"/>
        <v>918.02000000000021</v>
      </c>
      <c r="M92" t="s">
        <v>371</v>
      </c>
      <c r="N92">
        <v>358</v>
      </c>
      <c r="O92" t="s">
        <v>372</v>
      </c>
      <c r="P92" t="str">
        <f>RIGHT(RIGHT(Table2[[#This Row],[last Updated]],12),4)</f>
        <v xml:space="preserve"> PDT</v>
      </c>
      <c r="Q92" t="s">
        <v>36</v>
      </c>
    </row>
    <row r="93" spans="1:17" x14ac:dyDescent="0.25">
      <c r="A93" t="s">
        <v>373</v>
      </c>
      <c r="B93" t="str">
        <f>UPPER(Table2[[#This Row],[Brand]])</f>
        <v>ABERCROMBIE &amp; FITCH</v>
      </c>
      <c r="C93" t="str">
        <f>LOWER(Table2[[#This Row],[Brand]])</f>
        <v>abercrombie &amp; fitch</v>
      </c>
      <c r="D93" t="str">
        <f>PROPER(Table2[[#This Row],[Brand]])</f>
        <v>Abercrombie &amp; Fitch</v>
      </c>
      <c r="E93" t="s">
        <v>374</v>
      </c>
      <c r="F93">
        <v>29.99</v>
      </c>
      <c r="G93" t="s">
        <v>91</v>
      </c>
      <c r="H9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$29.99</v>
      </c>
      <c r="I93" t="str">
        <f>LEFT(Table2[[#This Row],[priceWithCurrency]],3)</f>
        <v xml:space="preserve">US </v>
      </c>
      <c r="J93">
        <v>9</v>
      </c>
      <c r="K93" t="str">
        <f>IF(Table2[[#This Row],[Available]]&lt;=50, "Less Stock", "Required stock" )</f>
        <v>Less Stock</v>
      </c>
      <c r="L93">
        <f t="shared" si="1"/>
        <v>1618.6100000000004</v>
      </c>
      <c r="M93" t="s">
        <v>375</v>
      </c>
      <c r="N93">
        <v>87</v>
      </c>
      <c r="O93" t="s">
        <v>376</v>
      </c>
      <c r="P93" t="str">
        <f>RIGHT(RIGHT(Table2[[#This Row],[last Updated]],12),4)</f>
        <v xml:space="preserve"> PDT</v>
      </c>
      <c r="Q93" t="s">
        <v>179</v>
      </c>
    </row>
    <row r="94" spans="1:17" x14ac:dyDescent="0.25">
      <c r="A94" t="s">
        <v>159</v>
      </c>
      <c r="B94" t="str">
        <f>UPPER(Table2[[#This Row],[Brand]])</f>
        <v>VALENTINO</v>
      </c>
      <c r="C94" t="str">
        <f>LOWER(Table2[[#This Row],[Brand]])</f>
        <v>valentino</v>
      </c>
      <c r="D94" t="str">
        <f>PROPER(Table2[[#This Row],[Brand]])</f>
        <v>Valentino</v>
      </c>
      <c r="E94" t="s">
        <v>15</v>
      </c>
      <c r="F94">
        <v>89.99</v>
      </c>
      <c r="G94" t="s">
        <v>377</v>
      </c>
      <c r="H9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$89.99</v>
      </c>
      <c r="I94" t="str">
        <f>LEFT(Table2[[#This Row],[priceWithCurrency]],3)</f>
        <v xml:space="preserve">US </v>
      </c>
      <c r="J94">
        <v>6</v>
      </c>
      <c r="K94" t="str">
        <f>IF(Table2[[#This Row],[Available]]&lt;=50, "Less Stock", "Required stock" )</f>
        <v>Less Stock</v>
      </c>
      <c r="L94">
        <f t="shared" si="1"/>
        <v>178.70999999999998</v>
      </c>
      <c r="M94" t="s">
        <v>378</v>
      </c>
      <c r="N94">
        <v>23</v>
      </c>
      <c r="O94" t="s">
        <v>379</v>
      </c>
      <c r="P94" t="str">
        <f>RIGHT(RIGHT(Table2[[#This Row],[last Updated]],12),4)</f>
        <v xml:space="preserve"> PDT</v>
      </c>
      <c r="Q94" t="s">
        <v>380</v>
      </c>
    </row>
    <row r="95" spans="1:17" x14ac:dyDescent="0.25">
      <c r="A95" t="s">
        <v>71</v>
      </c>
      <c r="B95" t="str">
        <f>UPPER(Table2[[#This Row],[Brand]])</f>
        <v>AS SHOW</v>
      </c>
      <c r="C95" t="str">
        <f>LOWER(Table2[[#This Row],[Brand]])</f>
        <v>as show</v>
      </c>
      <c r="D95" t="str">
        <f>PROPER(Table2[[#This Row],[Brand]])</f>
        <v>As Show</v>
      </c>
      <c r="E95" t="s">
        <v>4</v>
      </c>
      <c r="F95">
        <v>109.99</v>
      </c>
      <c r="G95" t="s">
        <v>381</v>
      </c>
      <c r="H9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$109.99</v>
      </c>
      <c r="I95" t="str">
        <f>LEFT(Table2[[#This Row],[priceWithCurrency]],3)</f>
        <v xml:space="preserve">US </v>
      </c>
      <c r="J95">
        <v>3</v>
      </c>
      <c r="K95" t="str">
        <f>IF(Table2[[#This Row],[Available]]&lt;=50, "Less Stock", "Required stock" )</f>
        <v>Less Stock</v>
      </c>
      <c r="L95">
        <f t="shared" si="1"/>
        <v>34.99</v>
      </c>
      <c r="M95" t="s">
        <v>203</v>
      </c>
      <c r="N95">
        <v>24</v>
      </c>
      <c r="O95" t="s">
        <v>382</v>
      </c>
      <c r="P95" t="str">
        <f>RIGHT(RIGHT(Table2[[#This Row],[last Updated]],12),4)</f>
        <v xml:space="preserve"> PDT</v>
      </c>
      <c r="Q95" t="s">
        <v>383</v>
      </c>
    </row>
    <row r="96" spans="1:17" x14ac:dyDescent="0.25">
      <c r="A96" t="s">
        <v>270</v>
      </c>
      <c r="B96" t="str">
        <f>UPPER(Table2[[#This Row],[Brand]])</f>
        <v>YVES SAINT LAURENT</v>
      </c>
      <c r="C96" t="str">
        <f>LOWER(Table2[[#This Row],[Brand]])</f>
        <v>yves saint laurent</v>
      </c>
      <c r="D96" t="str">
        <f>PROPER(Table2[[#This Row],[Brand]])</f>
        <v>Yves Saint Laurent</v>
      </c>
      <c r="E96" t="s">
        <v>4</v>
      </c>
      <c r="F96">
        <v>92.56</v>
      </c>
      <c r="G96" t="s">
        <v>384</v>
      </c>
      <c r="H9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$92.56</v>
      </c>
      <c r="I96" t="str">
        <f>LEFT(Table2[[#This Row],[priceWithCurrency]],3)</f>
        <v xml:space="preserve">US </v>
      </c>
      <c r="K96" t="str">
        <f>IF(Table2[[#This Row],[Available]]&lt;=50, "Less Stock", "Required stock" )</f>
        <v>Less Stock</v>
      </c>
      <c r="L96">
        <f t="shared" si="1"/>
        <v>0</v>
      </c>
      <c r="M96" t="s">
        <v>385</v>
      </c>
      <c r="N96">
        <v>2293</v>
      </c>
      <c r="O96" t="s">
        <v>386</v>
      </c>
      <c r="P96" t="str">
        <f>RIGHT(RIGHT(Table2[[#This Row],[last Updated]],12),4)</f>
        <v xml:space="preserve"> PDT</v>
      </c>
      <c r="Q96" t="s">
        <v>108</v>
      </c>
    </row>
    <row r="97" spans="1:17" x14ac:dyDescent="0.25">
      <c r="A97" t="s">
        <v>14</v>
      </c>
      <c r="B97" t="str">
        <f>UPPER(Table2[[#This Row],[Brand]])</f>
        <v>UNBRANDED</v>
      </c>
      <c r="C97" t="str">
        <f>LOWER(Table2[[#This Row],[Brand]])</f>
        <v>unbranded</v>
      </c>
      <c r="D97" t="str">
        <f>PROPER(Table2[[#This Row],[Brand]])</f>
        <v>Unbranded</v>
      </c>
      <c r="E97" t="s">
        <v>46</v>
      </c>
      <c r="F97">
        <v>15.89</v>
      </c>
      <c r="G97" t="s">
        <v>47</v>
      </c>
      <c r="H9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$15.89</v>
      </c>
      <c r="I97" t="str">
        <f>LEFT(Table2[[#This Row],[priceWithCurrency]],3)</f>
        <v xml:space="preserve">US </v>
      </c>
      <c r="J97">
        <v>6</v>
      </c>
      <c r="K97" t="str">
        <f>IF(Table2[[#This Row],[Available]]&lt;=50, "Less Stock", "Required stock" )</f>
        <v>Less Stock</v>
      </c>
      <c r="L97">
        <f t="shared" si="1"/>
        <v>2020.7100000000003</v>
      </c>
      <c r="M97" t="s">
        <v>387</v>
      </c>
      <c r="N97">
        <v>8</v>
      </c>
      <c r="O97" t="s">
        <v>388</v>
      </c>
      <c r="P97" t="str">
        <f>RIGHT(RIGHT(Table2[[#This Row],[last Updated]],12),4)</f>
        <v xml:space="preserve"> PDT</v>
      </c>
      <c r="Q97" t="s">
        <v>50</v>
      </c>
    </row>
    <row r="98" spans="1:17" x14ac:dyDescent="0.25">
      <c r="A98" t="s">
        <v>20</v>
      </c>
      <c r="B98" t="str">
        <f>UPPER(Table2[[#This Row],[Brand]])</f>
        <v>GIORGIO ARMANI</v>
      </c>
      <c r="C98" t="str">
        <f>LOWER(Table2[[#This Row],[Brand]])</f>
        <v>giorgio armani</v>
      </c>
      <c r="D98" t="str">
        <f>PROPER(Table2[[#This Row],[Brand]])</f>
        <v>Giorgio Armani</v>
      </c>
      <c r="E98" t="s">
        <v>15</v>
      </c>
      <c r="F98">
        <v>59.99</v>
      </c>
      <c r="G98" t="s">
        <v>389</v>
      </c>
      <c r="H9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$59.99</v>
      </c>
      <c r="I98" t="str">
        <f>LEFT(Table2[[#This Row],[priceWithCurrency]],3)</f>
        <v xml:space="preserve">US </v>
      </c>
      <c r="J98">
        <v>10</v>
      </c>
      <c r="K98" t="str">
        <f>IF(Table2[[#This Row],[Available]]&lt;=50, "Less Stock", "Required stock" )</f>
        <v>Less Stock</v>
      </c>
      <c r="L98">
        <f t="shared" si="1"/>
        <v>762.35</v>
      </c>
      <c r="M98" t="s">
        <v>390</v>
      </c>
      <c r="N98">
        <v>14</v>
      </c>
      <c r="O98" t="s">
        <v>391</v>
      </c>
      <c r="P98" t="str">
        <f>RIGHT(RIGHT(Table2[[#This Row],[last Updated]],12),4)</f>
        <v xml:space="preserve"> PDT</v>
      </c>
      <c r="Q98" t="s">
        <v>94</v>
      </c>
    </row>
    <row r="99" spans="1:17" x14ac:dyDescent="0.25">
      <c r="A99" t="s">
        <v>335</v>
      </c>
      <c r="B99" t="str">
        <f>UPPER(Table2[[#This Row],[Brand]])</f>
        <v>COLOGNE</v>
      </c>
      <c r="C99" t="str">
        <f>LOWER(Table2[[#This Row],[Brand]])</f>
        <v>cologne</v>
      </c>
      <c r="D99" t="str">
        <f>PROPER(Table2[[#This Row],[Brand]])</f>
        <v>Cologne</v>
      </c>
      <c r="E99" t="s">
        <v>32</v>
      </c>
      <c r="F99">
        <v>85</v>
      </c>
      <c r="G99" t="s">
        <v>42</v>
      </c>
      <c r="H9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$85.00</v>
      </c>
      <c r="I99" t="str">
        <f>LEFT(Table2[[#This Row],[priceWithCurrency]],3)</f>
        <v xml:space="preserve">US </v>
      </c>
      <c r="J99">
        <v>4</v>
      </c>
      <c r="K99" t="str">
        <f>IF(Table2[[#This Row],[Available]]&lt;=50, "Less Stock", "Required stock" )</f>
        <v>Less Stock</v>
      </c>
      <c r="L99">
        <f t="shared" si="1"/>
        <v>86.87</v>
      </c>
      <c r="M99" t="s">
        <v>392</v>
      </c>
      <c r="N99">
        <v>42</v>
      </c>
      <c r="O99" t="s">
        <v>393</v>
      </c>
      <c r="P99" t="str">
        <f>RIGHT(RIGHT(Table2[[#This Row],[last Updated]],12),4)</f>
        <v xml:space="preserve"> PDT</v>
      </c>
      <c r="Q99" t="s">
        <v>394</v>
      </c>
    </row>
    <row r="100" spans="1:17" x14ac:dyDescent="0.25">
      <c r="A100" t="s">
        <v>14</v>
      </c>
      <c r="B100" t="str">
        <f>UPPER(Table2[[#This Row],[Brand]])</f>
        <v>UNBRANDED</v>
      </c>
      <c r="C100" t="str">
        <f>LOWER(Table2[[#This Row],[Brand]])</f>
        <v>unbranded</v>
      </c>
      <c r="D100" t="str">
        <f>PROPER(Table2[[#This Row],[Brand]])</f>
        <v>Unbranded</v>
      </c>
      <c r="E100" t="s">
        <v>15</v>
      </c>
      <c r="F100">
        <v>13.86</v>
      </c>
      <c r="G100" t="s">
        <v>395</v>
      </c>
      <c r="H10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$13.86</v>
      </c>
      <c r="I100" t="str">
        <f>LEFT(Table2[[#This Row],[priceWithCurrency]],3)</f>
        <v xml:space="preserve">US </v>
      </c>
      <c r="J100">
        <v>10</v>
      </c>
      <c r="K100" t="str">
        <f>IF(Table2[[#This Row],[Available]]&lt;=50, "Less Stock", "Required stock" )</f>
        <v>Less Stock</v>
      </c>
      <c r="L100">
        <f t="shared" si="1"/>
        <v>2040.2400000000002</v>
      </c>
      <c r="M100" t="s">
        <v>396</v>
      </c>
      <c r="N100">
        <v>1146</v>
      </c>
      <c r="O100" t="s">
        <v>397</v>
      </c>
      <c r="P100" t="str">
        <f>RIGHT(RIGHT(Table2[[#This Row],[last Updated]],12),4)</f>
        <v xml:space="preserve"> PDT</v>
      </c>
      <c r="Q100" t="s">
        <v>398</v>
      </c>
    </row>
    <row r="101" spans="1:17" x14ac:dyDescent="0.25">
      <c r="A101" t="s">
        <v>399</v>
      </c>
      <c r="B101" t="str">
        <f>UPPER(Table2[[#This Row],[Brand]])</f>
        <v>MOSCHINO</v>
      </c>
      <c r="C101" t="str">
        <f>LOWER(Table2[[#This Row],[Brand]])</f>
        <v>moschino</v>
      </c>
      <c r="D101" t="str">
        <f>PROPER(Table2[[#This Row],[Brand]])</f>
        <v>Moschino</v>
      </c>
      <c r="E101" t="s">
        <v>4</v>
      </c>
      <c r="F101">
        <v>29.99</v>
      </c>
      <c r="G101" t="s">
        <v>400</v>
      </c>
      <c r="H10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$29.99</v>
      </c>
      <c r="I101" t="str">
        <f>LEFT(Table2[[#This Row],[priceWithCurrency]],3)</f>
        <v xml:space="preserve">US </v>
      </c>
      <c r="J101">
        <v>5</v>
      </c>
      <c r="K101" t="str">
        <f>IF(Table2[[#This Row],[Available]]&lt;=50, "Less Stock", "Required stock" )</f>
        <v>Less Stock</v>
      </c>
      <c r="L101">
        <f t="shared" si="1"/>
        <v>2052.25</v>
      </c>
      <c r="M101" t="s">
        <v>401</v>
      </c>
      <c r="N101">
        <v>17</v>
      </c>
      <c r="O101" t="s">
        <v>402</v>
      </c>
      <c r="P101" t="str">
        <f>RIGHT(RIGHT(Table2[[#This Row],[last Updated]],12),4)</f>
        <v xml:space="preserve"> PDT</v>
      </c>
      <c r="Q101" t="s">
        <v>94</v>
      </c>
    </row>
    <row r="102" spans="1:17" x14ac:dyDescent="0.25">
      <c r="A102" t="s">
        <v>227</v>
      </c>
      <c r="B102" t="str">
        <f>UPPER(Table2[[#This Row],[Brand]])</f>
        <v>NAUTICA</v>
      </c>
      <c r="C102" t="str">
        <f>LOWER(Table2[[#This Row],[Brand]])</f>
        <v>nautica</v>
      </c>
      <c r="D102" t="str">
        <f>PROPER(Table2[[#This Row],[Brand]])</f>
        <v>Nautica</v>
      </c>
      <c r="E102" t="s">
        <v>15</v>
      </c>
      <c r="F102">
        <v>17.989999999999998</v>
      </c>
      <c r="G102" t="s">
        <v>403</v>
      </c>
      <c r="H10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$17.99</v>
      </c>
      <c r="I102" t="str">
        <f>LEFT(Table2[[#This Row],[priceWithCurrency]],3)</f>
        <v xml:space="preserve">US </v>
      </c>
      <c r="J102">
        <v>3</v>
      </c>
      <c r="K102" t="str">
        <f>IF(Table2[[#This Row],[Available]]&lt;=50, "Less Stock", "Required stock" )</f>
        <v>Less Stock</v>
      </c>
      <c r="L102">
        <f t="shared" si="1"/>
        <v>2061.09</v>
      </c>
      <c r="M102" t="s">
        <v>404</v>
      </c>
      <c r="N102">
        <v>324</v>
      </c>
      <c r="O102" t="s">
        <v>405</v>
      </c>
      <c r="P102" t="str">
        <f>RIGHT(RIGHT(Table2[[#This Row],[last Updated]],12),4)</f>
        <v xml:space="preserve"> PDT</v>
      </c>
      <c r="Q102" t="s">
        <v>406</v>
      </c>
    </row>
    <row r="103" spans="1:17" x14ac:dyDescent="0.25">
      <c r="A103" t="s">
        <v>159</v>
      </c>
      <c r="B103" t="str">
        <f>UPPER(Table2[[#This Row],[Brand]])</f>
        <v>VALENTINO</v>
      </c>
      <c r="C103" t="str">
        <f>LOWER(Table2[[#This Row],[Brand]])</f>
        <v>valentino</v>
      </c>
      <c r="D103" t="str">
        <f>PROPER(Table2[[#This Row],[Brand]])</f>
        <v>Valentino</v>
      </c>
      <c r="E103" t="s">
        <v>15</v>
      </c>
      <c r="F103">
        <v>79.989999999999995</v>
      </c>
      <c r="G103" t="s">
        <v>407</v>
      </c>
      <c r="H10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$79.99</v>
      </c>
      <c r="I103" t="str">
        <f>LEFT(Table2[[#This Row],[priceWithCurrency]],3)</f>
        <v xml:space="preserve">US </v>
      </c>
      <c r="J103">
        <v>10</v>
      </c>
      <c r="K103" t="str">
        <f>IF(Table2[[#This Row],[Available]]&lt;=50, "Less Stock", "Required stock" )</f>
        <v>Less Stock</v>
      </c>
      <c r="L103">
        <f t="shared" si="1"/>
        <v>736.86</v>
      </c>
      <c r="M103" t="s">
        <v>408</v>
      </c>
      <c r="N103">
        <v>316</v>
      </c>
      <c r="O103" t="s">
        <v>409</v>
      </c>
      <c r="P103" t="str">
        <f>RIGHT(RIGHT(Table2[[#This Row],[last Updated]],12),4)</f>
        <v xml:space="preserve"> PDT</v>
      </c>
      <c r="Q103" t="s">
        <v>410</v>
      </c>
    </row>
    <row r="104" spans="1:17" x14ac:dyDescent="0.25">
      <c r="A104" t="s">
        <v>9</v>
      </c>
      <c r="B104" t="str">
        <f>UPPER(Table2[[#This Row],[Brand]])</f>
        <v>AS SHOW</v>
      </c>
      <c r="C104" t="str">
        <f>LOWER(Table2[[#This Row],[Brand]])</f>
        <v>as show</v>
      </c>
      <c r="D104" t="str">
        <f>PROPER(Table2[[#This Row],[Brand]])</f>
        <v>As Show</v>
      </c>
      <c r="E104" t="s">
        <v>4</v>
      </c>
      <c r="F104">
        <v>69.989999999999995</v>
      </c>
      <c r="G104" t="s">
        <v>239</v>
      </c>
      <c r="H10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$69.99</v>
      </c>
      <c r="I104" t="str">
        <f>LEFT(Table2[[#This Row],[priceWithCurrency]],3)</f>
        <v xml:space="preserve">US </v>
      </c>
      <c r="J104">
        <v>10</v>
      </c>
      <c r="K104" t="str">
        <f>IF(Table2[[#This Row],[Available]]&lt;=50, "Less Stock", "Required stock" )</f>
        <v>Less Stock</v>
      </c>
      <c r="L104">
        <f t="shared" si="1"/>
        <v>736.86</v>
      </c>
      <c r="M104" t="s">
        <v>411</v>
      </c>
      <c r="N104">
        <v>157</v>
      </c>
      <c r="O104" t="s">
        <v>412</v>
      </c>
      <c r="P104" t="str">
        <f>RIGHT(RIGHT(Table2[[#This Row],[last Updated]],12),4)</f>
        <v xml:space="preserve"> PDT</v>
      </c>
      <c r="Q104" t="s">
        <v>413</v>
      </c>
    </row>
    <row r="105" spans="1:17" x14ac:dyDescent="0.25">
      <c r="A105" t="s">
        <v>3</v>
      </c>
      <c r="B105" t="str">
        <f>UPPER(Table2[[#This Row],[Brand]])</f>
        <v>DIOR</v>
      </c>
      <c r="C105" t="str">
        <f>LOWER(Table2[[#This Row],[Brand]])</f>
        <v>dior</v>
      </c>
      <c r="D105" t="str">
        <f>PROPER(Table2[[#This Row],[Brand]])</f>
        <v>Dior</v>
      </c>
      <c r="E105" t="s">
        <v>4</v>
      </c>
      <c r="F105">
        <v>84.99</v>
      </c>
      <c r="G105" t="s">
        <v>5</v>
      </c>
      <c r="H10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$84.99</v>
      </c>
      <c r="I105" t="str">
        <f>LEFT(Table2[[#This Row],[priceWithCurrency]],3)</f>
        <v xml:space="preserve">US </v>
      </c>
      <c r="J105">
        <v>5</v>
      </c>
      <c r="K105" t="str">
        <f>IF(Table2[[#This Row],[Available]]&lt;=50, "Less Stock", "Required stock" )</f>
        <v>Less Stock</v>
      </c>
      <c r="L105">
        <f t="shared" si="1"/>
        <v>117.72000000000001</v>
      </c>
      <c r="M105" t="s">
        <v>414</v>
      </c>
      <c r="N105">
        <v>73</v>
      </c>
      <c r="O105" t="s">
        <v>415</v>
      </c>
      <c r="P105" t="str">
        <f>RIGHT(RIGHT(Table2[[#This Row],[last Updated]],12),4)</f>
        <v xml:space="preserve"> PDT</v>
      </c>
      <c r="Q105" t="s">
        <v>406</v>
      </c>
    </row>
    <row r="106" spans="1:17" x14ac:dyDescent="0.25">
      <c r="A106" t="s">
        <v>416</v>
      </c>
      <c r="B106" t="str">
        <f>UPPER(Table2[[#This Row],[Brand]])</f>
        <v>AS SHOWN</v>
      </c>
      <c r="C106" t="str">
        <f>LOWER(Table2[[#This Row],[Brand]])</f>
        <v>as shown</v>
      </c>
      <c r="D106" t="str">
        <f>PROPER(Table2[[#This Row],[Brand]])</f>
        <v>As Shown</v>
      </c>
      <c r="E106" t="s">
        <v>4</v>
      </c>
      <c r="F106">
        <v>49.99</v>
      </c>
      <c r="G106" t="s">
        <v>114</v>
      </c>
      <c r="H10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$49.99</v>
      </c>
      <c r="I106" t="str">
        <f>LEFT(Table2[[#This Row],[priceWithCurrency]],3)</f>
        <v xml:space="preserve">US </v>
      </c>
      <c r="J106">
        <v>5</v>
      </c>
      <c r="K106" t="str">
        <f>IF(Table2[[#This Row],[Available]]&lt;=50, "Less Stock", "Required stock" )</f>
        <v>Less Stock</v>
      </c>
      <c r="L106">
        <f t="shared" si="1"/>
        <v>2162.0799999999995</v>
      </c>
      <c r="M106" t="s">
        <v>417</v>
      </c>
      <c r="N106">
        <v>45</v>
      </c>
      <c r="O106" t="s">
        <v>418</v>
      </c>
      <c r="P106" t="str">
        <f>RIGHT(RIGHT(Table2[[#This Row],[last Updated]],12),4)</f>
        <v xml:space="preserve"> PDT</v>
      </c>
      <c r="Q106" t="s">
        <v>419</v>
      </c>
    </row>
    <row r="107" spans="1:17" x14ac:dyDescent="0.25">
      <c r="A107" t="s">
        <v>373</v>
      </c>
      <c r="B107" t="str">
        <f>UPPER(Table2[[#This Row],[Brand]])</f>
        <v>ABERCROMBIE &amp; FITCH</v>
      </c>
      <c r="C107" t="str">
        <f>LOWER(Table2[[#This Row],[Brand]])</f>
        <v>abercrombie &amp; fitch</v>
      </c>
      <c r="D107" t="str">
        <f>PROPER(Table2[[#This Row],[Brand]])</f>
        <v>Abercrombie &amp; Fitch</v>
      </c>
      <c r="E107" t="s">
        <v>374</v>
      </c>
      <c r="F107">
        <v>33.950000000000003</v>
      </c>
      <c r="G107" t="s">
        <v>420</v>
      </c>
      <c r="H10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$33.95</v>
      </c>
      <c r="I107" t="str">
        <f>LEFT(Table2[[#This Row],[priceWithCurrency]],3)</f>
        <v xml:space="preserve">US </v>
      </c>
      <c r="J107">
        <v>8</v>
      </c>
      <c r="K107" t="str">
        <f>IF(Table2[[#This Row],[Available]]&lt;=50, "Less Stock", "Required stock" )</f>
        <v>Less Stock</v>
      </c>
      <c r="L107">
        <f t="shared" si="1"/>
        <v>615.88</v>
      </c>
      <c r="M107" t="s">
        <v>421</v>
      </c>
      <c r="N107">
        <v>464</v>
      </c>
      <c r="O107" t="s">
        <v>422</v>
      </c>
      <c r="P107" t="str">
        <f>RIGHT(RIGHT(Table2[[#This Row],[last Updated]],12),4)</f>
        <v xml:space="preserve"> PDT</v>
      </c>
      <c r="Q107" t="s">
        <v>179</v>
      </c>
    </row>
    <row r="108" spans="1:17" x14ac:dyDescent="0.25">
      <c r="A108" t="s">
        <v>208</v>
      </c>
      <c r="B108" t="str">
        <f>UPPER(Table2[[#This Row],[Brand]])</f>
        <v>POLO RALPH LAUREN</v>
      </c>
      <c r="C108" t="str">
        <f>LOWER(Table2[[#This Row],[Brand]])</f>
        <v>polo ralph lauren</v>
      </c>
      <c r="D108" t="str">
        <f>PROPER(Table2[[#This Row],[Brand]])</f>
        <v>Polo Ralph Lauren</v>
      </c>
      <c r="E108" t="s">
        <v>15</v>
      </c>
      <c r="F108">
        <v>24.5</v>
      </c>
      <c r="G108" t="s">
        <v>423</v>
      </c>
      <c r="H10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$24.50</v>
      </c>
      <c r="I108" t="str">
        <f>LEFT(Table2[[#This Row],[priceWithCurrency]],3)</f>
        <v xml:space="preserve">US </v>
      </c>
      <c r="J108">
        <v>2</v>
      </c>
      <c r="K108" t="str">
        <f>IF(Table2[[#This Row],[Available]]&lt;=50, "Less Stock", "Required stock" )</f>
        <v>Less Stock</v>
      </c>
      <c r="L108">
        <f t="shared" si="1"/>
        <v>117.72000000000001</v>
      </c>
      <c r="M108" t="s">
        <v>137</v>
      </c>
      <c r="N108">
        <v>4</v>
      </c>
      <c r="O108" t="s">
        <v>424</v>
      </c>
      <c r="P108" t="str">
        <f>RIGHT(RIGHT(Table2[[#This Row],[last Updated]],12),4)</f>
        <v xml:space="preserve"> PDT</v>
      </c>
      <c r="Q108" t="s">
        <v>326</v>
      </c>
    </row>
    <row r="109" spans="1:17" x14ac:dyDescent="0.25">
      <c r="A109" t="s">
        <v>79</v>
      </c>
      <c r="B109" t="str">
        <f>UPPER(Table2[[#This Row],[Brand]])</f>
        <v>PACO RABANNE</v>
      </c>
      <c r="C109" t="str">
        <f>LOWER(Table2[[#This Row],[Brand]])</f>
        <v>paco rabanne</v>
      </c>
      <c r="D109" t="str">
        <f>PROPER(Table2[[#This Row],[Brand]])</f>
        <v>Paco Rabanne</v>
      </c>
      <c r="E109" t="s">
        <v>15</v>
      </c>
      <c r="F109">
        <v>49.96</v>
      </c>
      <c r="G109" t="s">
        <v>425</v>
      </c>
      <c r="H10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$49.96</v>
      </c>
      <c r="I109" t="str">
        <f>LEFT(Table2[[#This Row],[priceWithCurrency]],3)</f>
        <v xml:space="preserve">US </v>
      </c>
      <c r="J109">
        <v>6</v>
      </c>
      <c r="K109" t="str">
        <f>IF(Table2[[#This Row],[Available]]&lt;=50, "Less Stock", "Required stock" )</f>
        <v>Less Stock</v>
      </c>
      <c r="L109">
        <f t="shared" si="1"/>
        <v>2528.0299999999993</v>
      </c>
      <c r="M109" t="s">
        <v>426</v>
      </c>
      <c r="N109">
        <v>19</v>
      </c>
      <c r="O109" t="s">
        <v>427</v>
      </c>
      <c r="P109" t="str">
        <f>RIGHT(RIGHT(Table2[[#This Row],[last Updated]],12),4)</f>
        <v xml:space="preserve"> PDT</v>
      </c>
      <c r="Q109" t="s">
        <v>65</v>
      </c>
    </row>
    <row r="110" spans="1:17" x14ac:dyDescent="0.25">
      <c r="A110" t="s">
        <v>56</v>
      </c>
      <c r="B110" t="str">
        <f>UPPER(Table2[[#This Row],[Brand]])</f>
        <v>RALPH LAUREN</v>
      </c>
      <c r="C110" t="str">
        <f>LOWER(Table2[[#This Row],[Brand]])</f>
        <v>ralph lauren</v>
      </c>
      <c r="D110" t="str">
        <f>PROPER(Table2[[#This Row],[Brand]])</f>
        <v>Ralph Lauren</v>
      </c>
      <c r="E110" t="s">
        <v>15</v>
      </c>
      <c r="F110">
        <v>34.99</v>
      </c>
      <c r="G110" t="s">
        <v>57</v>
      </c>
      <c r="H11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$34.99</v>
      </c>
      <c r="I110" t="str">
        <f>LEFT(Table2[[#This Row],[priceWithCurrency]],3)</f>
        <v xml:space="preserve">US </v>
      </c>
      <c r="J110">
        <v>7</v>
      </c>
      <c r="K110" t="str">
        <f>IF(Table2[[#This Row],[Available]]&lt;=50, "Less Stock", "Required stock" )</f>
        <v>Less Stock</v>
      </c>
      <c r="L110">
        <f t="shared" si="1"/>
        <v>615.88</v>
      </c>
      <c r="M110" t="s">
        <v>428</v>
      </c>
      <c r="N110">
        <v>225</v>
      </c>
      <c r="O110" t="s">
        <v>429</v>
      </c>
      <c r="P110" t="str">
        <f>RIGHT(RIGHT(Table2[[#This Row],[last Updated]],12),4)</f>
        <v xml:space="preserve"> PDT</v>
      </c>
      <c r="Q110" t="s">
        <v>430</v>
      </c>
    </row>
    <row r="111" spans="1:17" x14ac:dyDescent="0.25">
      <c r="A111" t="s">
        <v>126</v>
      </c>
      <c r="B111" t="str">
        <f>UPPER(Table2[[#This Row],[Brand]])</f>
        <v>AZZARO</v>
      </c>
      <c r="C111" t="str">
        <f>LOWER(Table2[[#This Row],[Brand]])</f>
        <v>azzaro</v>
      </c>
      <c r="D111" t="str">
        <f>PROPER(Table2[[#This Row],[Brand]])</f>
        <v>Azzaro</v>
      </c>
      <c r="E111" t="s">
        <v>15</v>
      </c>
      <c r="F111">
        <v>26.97</v>
      </c>
      <c r="G111" t="s">
        <v>431</v>
      </c>
      <c r="H11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$26.97</v>
      </c>
      <c r="I111" t="str">
        <f>LEFT(Table2[[#This Row],[priceWithCurrency]],3)</f>
        <v xml:space="preserve">US </v>
      </c>
      <c r="J111">
        <v>33</v>
      </c>
      <c r="K111" t="str">
        <f>IF(Table2[[#This Row],[Available]]&lt;=50, "Less Stock", "Required stock" )</f>
        <v>Less Stock</v>
      </c>
      <c r="L111">
        <f t="shared" si="1"/>
        <v>673.34</v>
      </c>
      <c r="M111" t="s">
        <v>432</v>
      </c>
      <c r="N111">
        <v>424</v>
      </c>
      <c r="O111" t="s">
        <v>433</v>
      </c>
      <c r="P111" t="str">
        <f>RIGHT(RIGHT(Table2[[#This Row],[last Updated]],12),4)</f>
        <v xml:space="preserve"> PDT</v>
      </c>
      <c r="Q111" t="s">
        <v>121</v>
      </c>
    </row>
    <row r="112" spans="1:17" x14ac:dyDescent="0.25">
      <c r="A112" t="s">
        <v>434</v>
      </c>
      <c r="B112" t="str">
        <f>UPPER(Table2[[#This Row],[Brand]])</f>
        <v>~ DOLCE &amp; GABBANA ~</v>
      </c>
      <c r="C112" t="str">
        <f>LOWER(Table2[[#This Row],[Brand]])</f>
        <v>~ dolce &amp; gabbana ~</v>
      </c>
      <c r="D112" t="str">
        <f>PROPER(Table2[[#This Row],[Brand]])</f>
        <v>~ Dolce &amp; Gabbana ~</v>
      </c>
      <c r="E112" t="s">
        <v>435</v>
      </c>
      <c r="F112">
        <v>54.99</v>
      </c>
      <c r="G112" t="s">
        <v>368</v>
      </c>
      <c r="H11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$54.99</v>
      </c>
      <c r="I112" t="str">
        <f>LEFT(Table2[[#This Row],[priceWithCurrency]],3)</f>
        <v xml:space="preserve">US </v>
      </c>
      <c r="J112">
        <v>2</v>
      </c>
      <c r="K112" t="str">
        <f>IF(Table2[[#This Row],[Available]]&lt;=50, "Less Stock", "Required stock" )</f>
        <v>Less Stock</v>
      </c>
      <c r="L112">
        <f t="shared" si="1"/>
        <v>22.24</v>
      </c>
      <c r="M112" t="s">
        <v>436</v>
      </c>
      <c r="N112">
        <v>22</v>
      </c>
      <c r="O112" t="s">
        <v>437</v>
      </c>
      <c r="P112" t="str">
        <f>RIGHT(RIGHT(Table2[[#This Row],[last Updated]],12),4)</f>
        <v xml:space="preserve"> PDT</v>
      </c>
      <c r="Q112" t="s">
        <v>438</v>
      </c>
    </row>
    <row r="113" spans="1:17" x14ac:dyDescent="0.25">
      <c r="A113" t="s">
        <v>76</v>
      </c>
      <c r="B113" t="str">
        <f>UPPER(Table2[[#This Row],[Brand]])</f>
        <v>VERSACE</v>
      </c>
      <c r="C113" t="str">
        <f>LOWER(Table2[[#This Row],[Brand]])</f>
        <v>versace</v>
      </c>
      <c r="D113" t="str">
        <f>PROPER(Table2[[#This Row],[Brand]])</f>
        <v>Versace</v>
      </c>
      <c r="E113" t="s">
        <v>15</v>
      </c>
      <c r="F113">
        <v>30</v>
      </c>
      <c r="G113" t="s">
        <v>439</v>
      </c>
      <c r="H11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$30.00</v>
      </c>
      <c r="I113" t="str">
        <f>LEFT(Table2[[#This Row],[priceWithCurrency]],3)</f>
        <v xml:space="preserve">US </v>
      </c>
      <c r="J113">
        <v>2</v>
      </c>
      <c r="K113" t="str">
        <f>IF(Table2[[#This Row],[Available]]&lt;=50, "Less Stock", "Required stock" )</f>
        <v>Less Stock</v>
      </c>
      <c r="L113">
        <f t="shared" si="1"/>
        <v>2509.2699999999991</v>
      </c>
      <c r="M113" t="s">
        <v>440</v>
      </c>
      <c r="N113">
        <v>270</v>
      </c>
      <c r="O113" t="s">
        <v>441</v>
      </c>
      <c r="P113" t="str">
        <f>RIGHT(RIGHT(Table2[[#This Row],[last Updated]],12),4)</f>
        <v xml:space="preserve"> PDT</v>
      </c>
      <c r="Q113" t="s">
        <v>442</v>
      </c>
    </row>
    <row r="114" spans="1:17" x14ac:dyDescent="0.25">
      <c r="A114" t="s">
        <v>443</v>
      </c>
      <c r="B114" t="str">
        <f>UPPER(Table2[[#This Row],[Brand]])</f>
        <v>AS PICTURE SHOW</v>
      </c>
      <c r="C114" t="str">
        <f>LOWER(Table2[[#This Row],[Brand]])</f>
        <v>as picture show</v>
      </c>
      <c r="D114" t="str">
        <f>PROPER(Table2[[#This Row],[Brand]])</f>
        <v>As Picture Show</v>
      </c>
      <c r="E114" t="s">
        <v>4</v>
      </c>
      <c r="F114">
        <v>189.99</v>
      </c>
      <c r="G114" t="s">
        <v>444</v>
      </c>
      <c r="H11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$189.99</v>
      </c>
      <c r="I114" t="str">
        <f>LEFT(Table2[[#This Row],[priceWithCurrency]],3)</f>
        <v xml:space="preserve">US </v>
      </c>
      <c r="J114">
        <v>2</v>
      </c>
      <c r="K114" t="str">
        <f>IF(Table2[[#This Row],[Available]]&lt;=50, "Less Stock", "Required stock" )</f>
        <v>Less Stock</v>
      </c>
      <c r="L114">
        <f t="shared" si="1"/>
        <v>2561.2699999999991</v>
      </c>
      <c r="M114" t="s">
        <v>445</v>
      </c>
      <c r="N114">
        <v>32</v>
      </c>
      <c r="O114" t="s">
        <v>446</v>
      </c>
      <c r="P114" t="str">
        <f>RIGHT(RIGHT(Table2[[#This Row],[last Updated]],12),4)</f>
        <v xml:space="preserve"> PDT</v>
      </c>
      <c r="Q114" t="s">
        <v>447</v>
      </c>
    </row>
    <row r="115" spans="1:17" x14ac:dyDescent="0.25">
      <c r="A115" t="s">
        <v>448</v>
      </c>
      <c r="B115" t="str">
        <f>UPPER(Table2[[#This Row],[Brand]])</f>
        <v>SUPERZ BUDAPEST</v>
      </c>
      <c r="C115" t="str">
        <f>LOWER(Table2[[#This Row],[Brand]])</f>
        <v>superz budapest</v>
      </c>
      <c r="D115" t="str">
        <f>PROPER(Table2[[#This Row],[Brand]])</f>
        <v>Superz Budapest</v>
      </c>
      <c r="E115" t="s">
        <v>449</v>
      </c>
      <c r="F115">
        <v>125</v>
      </c>
      <c r="G115" t="s">
        <v>450</v>
      </c>
      <c r="H11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$125.00</v>
      </c>
      <c r="I115" t="str">
        <f>LEFT(Table2[[#This Row],[priceWithCurrency]],3)</f>
        <v xml:space="preserve">US </v>
      </c>
      <c r="J115">
        <v>10</v>
      </c>
      <c r="K115" t="str">
        <f>IF(Table2[[#This Row],[Available]]&lt;=50, "Less Stock", "Required stock" )</f>
        <v>Less Stock</v>
      </c>
      <c r="L115">
        <f t="shared" si="1"/>
        <v>92.51</v>
      </c>
      <c r="M115" t="s">
        <v>451</v>
      </c>
      <c r="N115">
        <v>28</v>
      </c>
      <c r="O115" t="s">
        <v>452</v>
      </c>
      <c r="P115" t="str">
        <f>RIGHT(RIGHT(Table2[[#This Row],[last Updated]],12),4)</f>
        <v xml:space="preserve"> PDT</v>
      </c>
      <c r="Q115" t="s">
        <v>453</v>
      </c>
    </row>
    <row r="116" spans="1:17" x14ac:dyDescent="0.25">
      <c r="A116" t="s">
        <v>56</v>
      </c>
      <c r="B116" t="str">
        <f>UPPER(Table2[[#This Row],[Brand]])</f>
        <v>RALPH LAUREN</v>
      </c>
      <c r="C116" t="str">
        <f>LOWER(Table2[[#This Row],[Brand]])</f>
        <v>ralph lauren</v>
      </c>
      <c r="D116" t="str">
        <f>PROPER(Table2[[#This Row],[Brand]])</f>
        <v>Ralph Lauren</v>
      </c>
      <c r="E116" t="s">
        <v>15</v>
      </c>
      <c r="F116">
        <v>29.99</v>
      </c>
      <c r="G116" t="s">
        <v>91</v>
      </c>
      <c r="H11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$29.99</v>
      </c>
      <c r="I116" t="str">
        <f>LEFT(Table2[[#This Row],[priceWithCurrency]],3)</f>
        <v xml:space="preserve">US </v>
      </c>
      <c r="J116">
        <v>8</v>
      </c>
      <c r="K116" t="str">
        <f>IF(Table2[[#This Row],[Available]]&lt;=50, "Less Stock", "Required stock" )</f>
        <v>Less Stock</v>
      </c>
      <c r="L116">
        <f t="shared" si="1"/>
        <v>690.04</v>
      </c>
      <c r="M116" t="s">
        <v>454</v>
      </c>
      <c r="N116">
        <v>169</v>
      </c>
      <c r="O116" t="s">
        <v>455</v>
      </c>
      <c r="P116" t="str">
        <f>RIGHT(RIGHT(Table2[[#This Row],[last Updated]],12),4)</f>
        <v xml:space="preserve"> PDT</v>
      </c>
      <c r="Q116" t="s">
        <v>456</v>
      </c>
    </row>
    <row r="117" spans="1:17" x14ac:dyDescent="0.25">
      <c r="A117" t="s">
        <v>79</v>
      </c>
      <c r="B117" t="str">
        <f>UPPER(Table2[[#This Row],[Brand]])</f>
        <v>PACO RABANNE</v>
      </c>
      <c r="C117" t="str">
        <f>LOWER(Table2[[#This Row],[Brand]])</f>
        <v>paco rabanne</v>
      </c>
      <c r="D117" t="str">
        <f>PROPER(Table2[[#This Row],[Brand]])</f>
        <v>Paco Rabanne</v>
      </c>
      <c r="E117" t="s">
        <v>15</v>
      </c>
      <c r="F117">
        <v>28.91</v>
      </c>
      <c r="G117" t="s">
        <v>457</v>
      </c>
      <c r="H11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$28.91</v>
      </c>
      <c r="I117" t="str">
        <f>LEFT(Table2[[#This Row],[priceWithCurrency]],3)</f>
        <v xml:space="preserve">US </v>
      </c>
      <c r="J117">
        <v>48</v>
      </c>
      <c r="K117" t="str">
        <f>IF(Table2[[#This Row],[Available]]&lt;=50, "Less Stock", "Required stock" )</f>
        <v>Less Stock</v>
      </c>
      <c r="L117">
        <f t="shared" si="1"/>
        <v>2534.2599999999993</v>
      </c>
      <c r="M117" t="s">
        <v>458</v>
      </c>
      <c r="N117">
        <v>849</v>
      </c>
      <c r="O117" t="s">
        <v>459</v>
      </c>
      <c r="P117" t="str">
        <f>RIGHT(RIGHT(Table2[[#This Row],[last Updated]],12),4)</f>
        <v xml:space="preserve"> PDT</v>
      </c>
      <c r="Q117" t="s">
        <v>121</v>
      </c>
    </row>
    <row r="118" spans="1:17" x14ac:dyDescent="0.25">
      <c r="A118" t="s">
        <v>14</v>
      </c>
      <c r="B118" t="str">
        <f>UPPER(Table2[[#This Row],[Brand]])</f>
        <v>UNBRANDED</v>
      </c>
      <c r="C118" t="str">
        <f>LOWER(Table2[[#This Row],[Brand]])</f>
        <v>unbranded</v>
      </c>
      <c r="D118" t="str">
        <f>PROPER(Table2[[#This Row],[Brand]])</f>
        <v>Unbranded</v>
      </c>
      <c r="E118" t="s">
        <v>32</v>
      </c>
      <c r="F118">
        <v>15.99</v>
      </c>
      <c r="G118" t="s">
        <v>67</v>
      </c>
      <c r="H11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$15.99</v>
      </c>
      <c r="I118" t="str">
        <f>LEFT(Table2[[#This Row],[priceWithCurrency]],3)</f>
        <v xml:space="preserve">US </v>
      </c>
      <c r="J118">
        <v>10</v>
      </c>
      <c r="K118" t="str">
        <f>IF(Table2[[#This Row],[Available]]&lt;=50, "Less Stock", "Required stock" )</f>
        <v>Less Stock</v>
      </c>
      <c r="L118">
        <f t="shared" si="1"/>
        <v>92.51</v>
      </c>
      <c r="M118" t="s">
        <v>390</v>
      </c>
      <c r="N118">
        <v>14</v>
      </c>
      <c r="O118" t="s">
        <v>460</v>
      </c>
      <c r="P118" t="str">
        <f>RIGHT(RIGHT(Table2[[#This Row],[last Updated]],12),4)</f>
        <v xml:space="preserve"> PDT</v>
      </c>
      <c r="Q118" t="s">
        <v>36</v>
      </c>
    </row>
    <row r="119" spans="1:17" x14ac:dyDescent="0.25">
      <c r="A119" t="s">
        <v>461</v>
      </c>
      <c r="B119" t="str">
        <f>UPPER(Table2[[#This Row],[Brand]])</f>
        <v>GIANNI VERSACE</v>
      </c>
      <c r="C119" t="str">
        <f>LOWER(Table2[[#This Row],[Brand]])</f>
        <v>gianni versace</v>
      </c>
      <c r="D119" t="str">
        <f>PROPER(Table2[[#This Row],[Brand]])</f>
        <v>Gianni Versace</v>
      </c>
      <c r="E119" t="s">
        <v>15</v>
      </c>
      <c r="F119">
        <v>25.43</v>
      </c>
      <c r="G119" t="s">
        <v>462</v>
      </c>
      <c r="H11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$25.43</v>
      </c>
      <c r="I119" t="str">
        <f>LEFT(Table2[[#This Row],[priceWithCurrency]],3)</f>
        <v xml:space="preserve">US </v>
      </c>
      <c r="J119">
        <v>116</v>
      </c>
      <c r="K119" t="str">
        <f>IF(Table2[[#This Row],[Available]]&lt;=50, "Less Stock", "Required stock" )</f>
        <v>Required stock</v>
      </c>
      <c r="L119">
        <f t="shared" si="1"/>
        <v>2504.2699999999991</v>
      </c>
      <c r="M119" t="s">
        <v>463</v>
      </c>
      <c r="N119">
        <v>1925</v>
      </c>
      <c r="O119" t="s">
        <v>464</v>
      </c>
      <c r="P119" t="str">
        <f>RIGHT(RIGHT(Table2[[#This Row],[last Updated]],12),4)</f>
        <v xml:space="preserve"> PDT</v>
      </c>
      <c r="Q119" t="s">
        <v>121</v>
      </c>
    </row>
    <row r="120" spans="1:17" x14ac:dyDescent="0.25">
      <c r="A120" t="s">
        <v>104</v>
      </c>
      <c r="B120" t="str">
        <f>UPPER(Table2[[#This Row],[Brand]])</f>
        <v>DOLCE &amp; GABBANA</v>
      </c>
      <c r="C120" t="str">
        <f>LOWER(Table2[[#This Row],[Brand]])</f>
        <v>dolce &amp; gabbana</v>
      </c>
      <c r="D120" t="str">
        <f>PROPER(Table2[[#This Row],[Brand]])</f>
        <v>Dolce &amp; Gabbana</v>
      </c>
      <c r="E120" t="s">
        <v>4</v>
      </c>
      <c r="F120">
        <v>11</v>
      </c>
      <c r="G120" t="s">
        <v>465</v>
      </c>
      <c r="H12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$11.00</v>
      </c>
      <c r="I120" t="str">
        <f>LEFT(Table2[[#This Row],[priceWithCurrency]],3)</f>
        <v xml:space="preserve">US </v>
      </c>
      <c r="J120">
        <v>10</v>
      </c>
      <c r="K120" t="str">
        <f>IF(Table2[[#This Row],[Available]]&lt;=50, "Less Stock", "Required stock" )</f>
        <v>Less Stock</v>
      </c>
      <c r="L120">
        <f t="shared" si="1"/>
        <v>715.74</v>
      </c>
      <c r="M120" t="s">
        <v>466</v>
      </c>
      <c r="N120">
        <v>702</v>
      </c>
      <c r="O120" t="s">
        <v>467</v>
      </c>
      <c r="P120" t="str">
        <f>RIGHT(RIGHT(Table2[[#This Row],[last Updated]],12),4)</f>
        <v xml:space="preserve"> PDT</v>
      </c>
      <c r="Q120" t="s">
        <v>468</v>
      </c>
    </row>
    <row r="121" spans="1:17" x14ac:dyDescent="0.25">
      <c r="A121" t="s">
        <v>469</v>
      </c>
      <c r="B121" t="str">
        <f>UPPER(Table2[[#This Row],[Brand]])</f>
        <v>CHRISTIAN DIOR</v>
      </c>
      <c r="C121" t="str">
        <f>LOWER(Table2[[#This Row],[Brand]])</f>
        <v>christian dior</v>
      </c>
      <c r="D121" t="str">
        <f>PROPER(Table2[[#This Row],[Brand]])</f>
        <v>Christian Dior</v>
      </c>
      <c r="E121" t="s">
        <v>127</v>
      </c>
      <c r="F121">
        <v>161.99</v>
      </c>
      <c r="G121" t="s">
        <v>470</v>
      </c>
      <c r="H12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$161.99</v>
      </c>
      <c r="I121" t="str">
        <f>LEFT(Table2[[#This Row],[priceWithCurrency]],3)</f>
        <v xml:space="preserve">US </v>
      </c>
      <c r="J121">
        <v>10</v>
      </c>
      <c r="K121" t="str">
        <f>IF(Table2[[#This Row],[Available]]&lt;=50, "Less Stock", "Required stock" )</f>
        <v>Less Stock</v>
      </c>
      <c r="L121">
        <f t="shared" si="1"/>
        <v>2567.349999999999</v>
      </c>
      <c r="M121" t="s">
        <v>471</v>
      </c>
      <c r="N121">
        <v>129</v>
      </c>
      <c r="O121" t="s">
        <v>472</v>
      </c>
      <c r="P121" t="str">
        <f>RIGHT(RIGHT(Table2[[#This Row],[last Updated]],12),4)</f>
        <v xml:space="preserve"> PDT</v>
      </c>
      <c r="Q121" t="s">
        <v>89</v>
      </c>
    </row>
    <row r="122" spans="1:17" x14ac:dyDescent="0.25">
      <c r="A122" t="s">
        <v>61</v>
      </c>
      <c r="B122" t="str">
        <f>UPPER(Table2[[#This Row],[Brand]])</f>
        <v>DOLCE&amp;GABBANA</v>
      </c>
      <c r="C122" t="str">
        <f>LOWER(Table2[[#This Row],[Brand]])</f>
        <v>dolce&amp;gabbana</v>
      </c>
      <c r="D122" t="str">
        <f>PROPER(Table2[[#This Row],[Brand]])</f>
        <v>Dolce&amp;Gabbana</v>
      </c>
      <c r="E122" t="s">
        <v>4</v>
      </c>
      <c r="F122">
        <v>40.99</v>
      </c>
      <c r="G122" t="s">
        <v>473</v>
      </c>
      <c r="H12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$40.99</v>
      </c>
      <c r="I122" t="str">
        <f>LEFT(Table2[[#This Row],[priceWithCurrency]],3)</f>
        <v xml:space="preserve">US </v>
      </c>
      <c r="J122">
        <v>10</v>
      </c>
      <c r="K122" t="str">
        <f>IF(Table2[[#This Row],[Available]]&lt;=50, "Less Stock", "Required stock" )</f>
        <v>Less Stock</v>
      </c>
      <c r="L122">
        <f t="shared" si="1"/>
        <v>2567.349999999999</v>
      </c>
      <c r="M122" t="s">
        <v>474</v>
      </c>
      <c r="N122">
        <v>16</v>
      </c>
      <c r="O122" t="s">
        <v>475</v>
      </c>
      <c r="P122" t="str">
        <f>RIGHT(RIGHT(Table2[[#This Row],[last Updated]],12),4)</f>
        <v xml:space="preserve"> PDT</v>
      </c>
      <c r="Q122" t="s">
        <v>406</v>
      </c>
    </row>
    <row r="123" spans="1:17" x14ac:dyDescent="0.25">
      <c r="A123" t="s">
        <v>476</v>
      </c>
      <c r="B123" t="str">
        <f>UPPER(Table2[[#This Row],[Brand]])</f>
        <v>HERMÈS</v>
      </c>
      <c r="C123" t="str">
        <f>LOWER(Table2[[#This Row],[Brand]])</f>
        <v>hermès</v>
      </c>
      <c r="D123" t="str">
        <f>PROPER(Table2[[#This Row],[Brand]])</f>
        <v>Hermès</v>
      </c>
      <c r="E123" t="s">
        <v>15</v>
      </c>
      <c r="F123">
        <v>58.99</v>
      </c>
      <c r="G123" t="s">
        <v>477</v>
      </c>
      <c r="H12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$58.99</v>
      </c>
      <c r="I123" t="str">
        <f>LEFT(Table2[[#This Row],[priceWithCurrency]],3)</f>
        <v xml:space="preserve">US </v>
      </c>
      <c r="K123" t="str">
        <f>IF(Table2[[#This Row],[Available]]&lt;=50, "Less Stock", "Required stock" )</f>
        <v>Less Stock</v>
      </c>
      <c r="L123">
        <f t="shared" si="1"/>
        <v>2567.349999999999</v>
      </c>
      <c r="M123" t="s">
        <v>478</v>
      </c>
      <c r="N123">
        <v>3</v>
      </c>
      <c r="O123" t="s">
        <v>479</v>
      </c>
      <c r="P123" t="str">
        <f>RIGHT(RIGHT(Table2[[#This Row],[last Updated]],12),4)</f>
        <v xml:space="preserve"> PDT</v>
      </c>
      <c r="Q123" t="s">
        <v>480</v>
      </c>
    </row>
    <row r="124" spans="1:17" x14ac:dyDescent="0.25">
      <c r="A124" t="s">
        <v>347</v>
      </c>
      <c r="B124" t="str">
        <f>UPPER(Table2[[#This Row],[Brand]])</f>
        <v>AS SHOWN</v>
      </c>
      <c r="C124" t="str">
        <f>LOWER(Table2[[#This Row],[Brand]])</f>
        <v>as shown</v>
      </c>
      <c r="D124" t="str">
        <f>PROPER(Table2[[#This Row],[Brand]])</f>
        <v>As Shown</v>
      </c>
      <c r="E124" t="s">
        <v>15</v>
      </c>
      <c r="F124">
        <v>48.99</v>
      </c>
      <c r="G124" t="s">
        <v>481</v>
      </c>
      <c r="H12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$48.99</v>
      </c>
      <c r="I124" t="str">
        <f>LEFT(Table2[[#This Row],[priceWithCurrency]],3)</f>
        <v xml:space="preserve">US </v>
      </c>
      <c r="J124">
        <v>10</v>
      </c>
      <c r="K124" t="str">
        <f>IF(Table2[[#This Row],[Available]]&lt;=50, "Less Stock", "Required stock" )</f>
        <v>Less Stock</v>
      </c>
      <c r="L124">
        <f t="shared" si="1"/>
        <v>653.29</v>
      </c>
      <c r="M124" t="s">
        <v>482</v>
      </c>
      <c r="N124">
        <v>101</v>
      </c>
      <c r="O124" t="s">
        <v>483</v>
      </c>
      <c r="P124" t="str">
        <f>RIGHT(RIGHT(Table2[[#This Row],[last Updated]],12),4)</f>
        <v xml:space="preserve"> PDT</v>
      </c>
      <c r="Q124" t="s">
        <v>484</v>
      </c>
    </row>
    <row r="125" spans="1:17" x14ac:dyDescent="0.25">
      <c r="A125" t="s">
        <v>485</v>
      </c>
      <c r="B125" t="str">
        <f>UPPER(Table2[[#This Row],[Brand]])</f>
        <v>DIESEL</v>
      </c>
      <c r="C125" t="str">
        <f>LOWER(Table2[[#This Row],[Brand]])</f>
        <v>diesel</v>
      </c>
      <c r="D125" t="str">
        <f>PROPER(Table2[[#This Row],[Brand]])</f>
        <v>Diesel</v>
      </c>
      <c r="E125" t="s">
        <v>15</v>
      </c>
      <c r="F125">
        <v>17</v>
      </c>
      <c r="G125" t="s">
        <v>486</v>
      </c>
      <c r="H12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$17.00</v>
      </c>
      <c r="I125" t="str">
        <f>LEFT(Table2[[#This Row],[priceWithCurrency]],3)</f>
        <v xml:space="preserve">US </v>
      </c>
      <c r="J125">
        <v>6</v>
      </c>
      <c r="K125" t="str">
        <f>IF(Table2[[#This Row],[Available]]&lt;=50, "Less Stock", "Required stock" )</f>
        <v>Less Stock</v>
      </c>
      <c r="L125">
        <f t="shared" si="1"/>
        <v>703.28</v>
      </c>
      <c r="M125" t="s">
        <v>487</v>
      </c>
      <c r="N125">
        <v>147</v>
      </c>
      <c r="O125" t="s">
        <v>488</v>
      </c>
      <c r="P125" t="str">
        <f>RIGHT(RIGHT(Table2[[#This Row],[last Updated]],12),4)</f>
        <v xml:space="preserve"> PDT</v>
      </c>
      <c r="Q125" t="s">
        <v>121</v>
      </c>
    </row>
    <row r="126" spans="1:17" x14ac:dyDescent="0.25">
      <c r="A126" t="s">
        <v>61</v>
      </c>
      <c r="B126" t="str">
        <f>UPPER(Table2[[#This Row],[Brand]])</f>
        <v>DOLCE&amp;GABBANA</v>
      </c>
      <c r="C126" t="str">
        <f>LOWER(Table2[[#This Row],[Brand]])</f>
        <v>dolce&amp;gabbana</v>
      </c>
      <c r="D126" t="str">
        <f>PROPER(Table2[[#This Row],[Brand]])</f>
        <v>Dolce&amp;Gabbana</v>
      </c>
      <c r="E126" t="s">
        <v>4</v>
      </c>
      <c r="F126">
        <v>65.97</v>
      </c>
      <c r="G126" t="s">
        <v>489</v>
      </c>
      <c r="H12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$65.97</v>
      </c>
      <c r="I126" t="str">
        <f>LEFT(Table2[[#This Row],[priceWithCurrency]],3)</f>
        <v xml:space="preserve">US </v>
      </c>
      <c r="J126">
        <v>10</v>
      </c>
      <c r="K126" t="str">
        <f>IF(Table2[[#This Row],[Available]]&lt;=50, "Less Stock", "Required stock" )</f>
        <v>Less Stock</v>
      </c>
      <c r="L126">
        <f t="shared" si="1"/>
        <v>2400.0299999999993</v>
      </c>
      <c r="M126" t="s">
        <v>490</v>
      </c>
      <c r="N126">
        <v>37</v>
      </c>
      <c r="O126" t="s">
        <v>491</v>
      </c>
      <c r="P126" t="str">
        <f>RIGHT(RIGHT(Table2[[#This Row],[last Updated]],12),4)</f>
        <v xml:space="preserve"> PDT</v>
      </c>
      <c r="Q126" t="s">
        <v>131</v>
      </c>
    </row>
    <row r="127" spans="1:17" x14ac:dyDescent="0.25">
      <c r="A127" t="s">
        <v>492</v>
      </c>
      <c r="B127" t="str">
        <f>UPPER(Table2[[#This Row],[Brand]])</f>
        <v>LACOSTE</v>
      </c>
      <c r="C127" t="str">
        <f>LOWER(Table2[[#This Row],[Brand]])</f>
        <v>lacoste</v>
      </c>
      <c r="D127" t="str">
        <f>PROPER(Table2[[#This Row],[Brand]])</f>
        <v>Lacoste</v>
      </c>
      <c r="E127" t="s">
        <v>493</v>
      </c>
      <c r="F127">
        <v>36.68</v>
      </c>
      <c r="G127" t="s">
        <v>494</v>
      </c>
      <c r="H12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$36.68</v>
      </c>
      <c r="I127" t="str">
        <f>LEFT(Table2[[#This Row],[priceWithCurrency]],3)</f>
        <v xml:space="preserve">US </v>
      </c>
      <c r="J127">
        <v>10</v>
      </c>
      <c r="K127" t="str">
        <f>IF(Table2[[#This Row],[Available]]&lt;=50, "Less Stock", "Required stock" )</f>
        <v>Less Stock</v>
      </c>
      <c r="L127">
        <f t="shared" si="1"/>
        <v>267.96000000000004</v>
      </c>
      <c r="M127" t="s">
        <v>495</v>
      </c>
      <c r="N127">
        <v>9</v>
      </c>
      <c r="O127" t="s">
        <v>496</v>
      </c>
      <c r="P127" t="str">
        <f>RIGHT(RIGHT(Table2[[#This Row],[last Updated]],12),4)</f>
        <v xml:space="preserve"> PDT</v>
      </c>
      <c r="Q127" t="s">
        <v>497</v>
      </c>
    </row>
    <row r="128" spans="1:17" x14ac:dyDescent="0.25">
      <c r="A128" t="s">
        <v>79</v>
      </c>
      <c r="B128" t="str">
        <f>UPPER(Table2[[#This Row],[Brand]])</f>
        <v>PACO RABANNE</v>
      </c>
      <c r="C128" t="str">
        <f>LOWER(Table2[[#This Row],[Brand]])</f>
        <v>paco rabanne</v>
      </c>
      <c r="D128" t="str">
        <f>PROPER(Table2[[#This Row],[Brand]])</f>
        <v>Paco Rabanne</v>
      </c>
      <c r="E128" t="s">
        <v>15</v>
      </c>
      <c r="F128">
        <v>49.99</v>
      </c>
      <c r="G128" t="s">
        <v>52</v>
      </c>
      <c r="H12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$49.99</v>
      </c>
      <c r="I128" t="str">
        <f>LEFT(Table2[[#This Row],[priceWithCurrency]],3)</f>
        <v xml:space="preserve">US </v>
      </c>
      <c r="J128">
        <v>10</v>
      </c>
      <c r="K128" t="str">
        <f>IF(Table2[[#This Row],[Available]]&lt;=50, "Less Stock", "Required stock" )</f>
        <v>Less Stock</v>
      </c>
      <c r="L128">
        <f t="shared" si="1"/>
        <v>2386.0299999999993</v>
      </c>
      <c r="M128" t="s">
        <v>498</v>
      </c>
      <c r="N128">
        <v>165</v>
      </c>
      <c r="O128" t="s">
        <v>499</v>
      </c>
      <c r="P128" t="str">
        <f>RIGHT(RIGHT(Table2[[#This Row],[last Updated]],12),4)</f>
        <v xml:space="preserve"> PDT</v>
      </c>
      <c r="Q128" t="s">
        <v>99</v>
      </c>
    </row>
    <row r="129" spans="1:17" x14ac:dyDescent="0.25">
      <c r="A129" t="s">
        <v>500</v>
      </c>
      <c r="B129" t="str">
        <f>UPPER(Table2[[#This Row],[Brand]])</f>
        <v>DOSSIER</v>
      </c>
      <c r="C129" t="str">
        <f>LOWER(Table2[[#This Row],[Brand]])</f>
        <v>dossier</v>
      </c>
      <c r="D129" t="str">
        <f>PROPER(Table2[[#This Row],[Brand]])</f>
        <v>Dossier</v>
      </c>
      <c r="E129" t="s">
        <v>4</v>
      </c>
      <c r="F129">
        <v>20</v>
      </c>
      <c r="G129" t="s">
        <v>501</v>
      </c>
      <c r="H12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$20.00</v>
      </c>
      <c r="I129" t="str">
        <f>LEFT(Table2[[#This Row],[priceWithCurrency]],3)</f>
        <v xml:space="preserve">US </v>
      </c>
      <c r="J129">
        <v>8</v>
      </c>
      <c r="K129" t="str">
        <f>IF(Table2[[#This Row],[Available]]&lt;=50, "Less Stock", "Required stock" )</f>
        <v>Less Stock</v>
      </c>
      <c r="L129">
        <f t="shared" si="1"/>
        <v>21.95</v>
      </c>
      <c r="M129" t="s">
        <v>502</v>
      </c>
      <c r="N129">
        <v>23</v>
      </c>
      <c r="P129" t="str">
        <f>RIGHT(RIGHT(Table2[[#This Row],[last Updated]],12),4)</f>
        <v/>
      </c>
      <c r="Q129" t="s">
        <v>503</v>
      </c>
    </row>
    <row r="130" spans="1:17" x14ac:dyDescent="0.25">
      <c r="A130" t="s">
        <v>504</v>
      </c>
      <c r="B130" t="str">
        <f>UPPER(Table2[[#This Row],[Brand]])</f>
        <v>BURBERRY</v>
      </c>
      <c r="C130" t="str">
        <f>LOWER(Table2[[#This Row],[Brand]])</f>
        <v>burberry</v>
      </c>
      <c r="D130" t="str">
        <f>PROPER(Table2[[#This Row],[Brand]])</f>
        <v>Burberry</v>
      </c>
      <c r="E130" t="s">
        <v>26</v>
      </c>
      <c r="F130">
        <v>77.069999999999993</v>
      </c>
      <c r="G130" t="s">
        <v>505</v>
      </c>
      <c r="H13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$77.07</v>
      </c>
      <c r="I130" t="str">
        <f>LEFT(Table2[[#This Row],[priceWithCurrency]],3)</f>
        <v xml:space="preserve">US </v>
      </c>
      <c r="J130">
        <v>3</v>
      </c>
      <c r="K130" t="str">
        <f>IF(Table2[[#This Row],[Available]]&lt;=50, "Less Stock", "Required stock" )</f>
        <v>Less Stock</v>
      </c>
      <c r="L130">
        <f t="shared" ref="L130:L193" si="2">SUMIF(E130:E210,E174,F174:F1129)</f>
        <v>2424.559999999999</v>
      </c>
      <c r="M130" t="s">
        <v>506</v>
      </c>
      <c r="N130">
        <v>55</v>
      </c>
      <c r="O130" t="s">
        <v>507</v>
      </c>
      <c r="P130" t="str">
        <f>RIGHT(RIGHT(Table2[[#This Row],[last Updated]],12),4)</f>
        <v xml:space="preserve"> PDT</v>
      </c>
      <c r="Q130" t="s">
        <v>30</v>
      </c>
    </row>
    <row r="131" spans="1:17" x14ac:dyDescent="0.25">
      <c r="A131" t="s">
        <v>20</v>
      </c>
      <c r="B131" t="str">
        <f>UPPER(Table2[[#This Row],[Brand]])</f>
        <v>GIORGIO ARMANI</v>
      </c>
      <c r="C131" t="str">
        <f>LOWER(Table2[[#This Row],[Brand]])</f>
        <v>giorgio armani</v>
      </c>
      <c r="D131" t="str">
        <f>PROPER(Table2[[#This Row],[Brand]])</f>
        <v>Giorgio Armani</v>
      </c>
      <c r="E131" t="s">
        <v>15</v>
      </c>
      <c r="F131">
        <v>64.989999999999995</v>
      </c>
      <c r="G131" t="s">
        <v>508</v>
      </c>
      <c r="H13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$64.99</v>
      </c>
      <c r="I131" t="str">
        <f>LEFT(Table2[[#This Row],[priceWithCurrency]],3)</f>
        <v xml:space="preserve">US </v>
      </c>
      <c r="J131">
        <v>10</v>
      </c>
      <c r="K131" t="str">
        <f>IF(Table2[[#This Row],[Available]]&lt;=50, "Less Stock", "Required stock" )</f>
        <v>Less Stock</v>
      </c>
      <c r="L131">
        <f t="shared" si="2"/>
        <v>267.96000000000004</v>
      </c>
      <c r="M131" t="s">
        <v>509</v>
      </c>
      <c r="N131">
        <v>235</v>
      </c>
      <c r="O131" t="s">
        <v>510</v>
      </c>
      <c r="P131" t="str">
        <f>RIGHT(RIGHT(Table2[[#This Row],[last Updated]],12),4)</f>
        <v xml:space="preserve"> PDT</v>
      </c>
      <c r="Q131" t="s">
        <v>89</v>
      </c>
    </row>
    <row r="132" spans="1:17" x14ac:dyDescent="0.25">
      <c r="A132" t="s">
        <v>270</v>
      </c>
      <c r="B132" t="str">
        <f>UPPER(Table2[[#This Row],[Brand]])</f>
        <v>YVES SAINT LAURENT</v>
      </c>
      <c r="C132" t="str">
        <f>LOWER(Table2[[#This Row],[Brand]])</f>
        <v>yves saint laurent</v>
      </c>
      <c r="D132" t="str">
        <f>PROPER(Table2[[#This Row],[Brand]])</f>
        <v>Yves Saint Laurent</v>
      </c>
      <c r="E132" t="s">
        <v>80</v>
      </c>
      <c r="F132">
        <v>59.99</v>
      </c>
      <c r="G132" t="s">
        <v>389</v>
      </c>
      <c r="H13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$59.99</v>
      </c>
      <c r="I132" t="str">
        <f>LEFT(Table2[[#This Row],[priceWithCurrency]],3)</f>
        <v xml:space="preserve">US </v>
      </c>
      <c r="J132">
        <v>3</v>
      </c>
      <c r="K132" t="str">
        <f>IF(Table2[[#This Row],[Available]]&lt;=50, "Less Stock", "Required stock" )</f>
        <v>Less Stock</v>
      </c>
      <c r="L132">
        <f t="shared" si="2"/>
        <v>2411.059999999999</v>
      </c>
      <c r="M132" t="s">
        <v>511</v>
      </c>
      <c r="N132">
        <v>20</v>
      </c>
      <c r="O132" t="s">
        <v>512</v>
      </c>
      <c r="P132" t="str">
        <f>RIGHT(RIGHT(Table2[[#This Row],[last Updated]],12),4)</f>
        <v xml:space="preserve"> PDT</v>
      </c>
      <c r="Q132" t="s">
        <v>513</v>
      </c>
    </row>
    <row r="133" spans="1:17" x14ac:dyDescent="0.25">
      <c r="A133" t="s">
        <v>373</v>
      </c>
      <c r="B133" t="str">
        <f>UPPER(Table2[[#This Row],[Brand]])</f>
        <v>ABERCROMBIE &amp; FITCH</v>
      </c>
      <c r="C133" t="str">
        <f>LOWER(Table2[[#This Row],[Brand]])</f>
        <v>abercrombie &amp; fitch</v>
      </c>
      <c r="D133" t="str">
        <f>PROPER(Table2[[#This Row],[Brand]])</f>
        <v>Abercrombie &amp; Fitch</v>
      </c>
      <c r="E133" t="s">
        <v>374</v>
      </c>
      <c r="F133">
        <v>39.99</v>
      </c>
      <c r="G133" t="s">
        <v>514</v>
      </c>
      <c r="H13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$39.99</v>
      </c>
      <c r="I133" t="str">
        <f>LEFT(Table2[[#This Row],[priceWithCurrency]],3)</f>
        <v xml:space="preserve">US </v>
      </c>
      <c r="J133">
        <v>3</v>
      </c>
      <c r="K133" t="str">
        <f>IF(Table2[[#This Row],[Available]]&lt;=50, "Less Stock", "Required stock" )</f>
        <v>Less Stock</v>
      </c>
      <c r="L133">
        <f t="shared" si="2"/>
        <v>2411.059999999999</v>
      </c>
      <c r="M133" t="s">
        <v>515</v>
      </c>
      <c r="N133">
        <v>275</v>
      </c>
      <c r="O133" t="s">
        <v>516</v>
      </c>
      <c r="P133" t="str">
        <f>RIGHT(RIGHT(Table2[[#This Row],[last Updated]],12),4)</f>
        <v xml:space="preserve"> PDT</v>
      </c>
      <c r="Q133" t="s">
        <v>442</v>
      </c>
    </row>
    <row r="134" spans="1:17" x14ac:dyDescent="0.25">
      <c r="A134" t="s">
        <v>61</v>
      </c>
      <c r="B134" t="str">
        <f>UPPER(Table2[[#This Row],[Brand]])</f>
        <v>DOLCE&amp;GABBANA</v>
      </c>
      <c r="C134" t="str">
        <f>LOWER(Table2[[#This Row],[Brand]])</f>
        <v>dolce&amp;gabbana</v>
      </c>
      <c r="D134" t="str">
        <f>PROPER(Table2[[#This Row],[Brand]])</f>
        <v>Dolce&amp;Gabbana</v>
      </c>
      <c r="E134" t="s">
        <v>15</v>
      </c>
      <c r="F134">
        <v>36.99</v>
      </c>
      <c r="G134" t="s">
        <v>517</v>
      </c>
      <c r="H13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$36.99</v>
      </c>
      <c r="I134" t="str">
        <f>LEFT(Table2[[#This Row],[priceWithCurrency]],3)</f>
        <v xml:space="preserve">US </v>
      </c>
      <c r="J134">
        <v>2</v>
      </c>
      <c r="K134" t="str">
        <f>IF(Table2[[#This Row],[Available]]&lt;=50, "Less Stock", "Required stock" )</f>
        <v>Less Stock</v>
      </c>
      <c r="L134">
        <f t="shared" si="2"/>
        <v>2451.0499999999988</v>
      </c>
      <c r="M134" t="s">
        <v>518</v>
      </c>
      <c r="N134">
        <v>98</v>
      </c>
      <c r="O134" t="s">
        <v>519</v>
      </c>
      <c r="P134" t="str">
        <f>RIGHT(RIGHT(Table2[[#This Row],[last Updated]],12),4)</f>
        <v xml:space="preserve"> PDT</v>
      </c>
      <c r="Q134" t="s">
        <v>135</v>
      </c>
    </row>
    <row r="135" spans="1:17" x14ac:dyDescent="0.25">
      <c r="A135" t="s">
        <v>520</v>
      </c>
      <c r="B135" t="str">
        <f>UPPER(Table2[[#This Row],[Brand]])</f>
        <v>MICHAEL MALUL</v>
      </c>
      <c r="C135" t="str">
        <f>LOWER(Table2[[#This Row],[Brand]])</f>
        <v>michael malul</v>
      </c>
      <c r="D135" t="str">
        <f>PROPER(Table2[[#This Row],[Brand]])</f>
        <v>Michael Malul</v>
      </c>
      <c r="E135" t="s">
        <v>4</v>
      </c>
      <c r="F135">
        <v>79.989999999999995</v>
      </c>
      <c r="G135" t="s">
        <v>521</v>
      </c>
      <c r="H13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$79.99</v>
      </c>
      <c r="I135" t="str">
        <f>LEFT(Table2[[#This Row],[priceWithCurrency]],3)</f>
        <v xml:space="preserve">US </v>
      </c>
      <c r="J135">
        <v>6</v>
      </c>
      <c r="K135" t="str">
        <f>IF(Table2[[#This Row],[Available]]&lt;=50, "Less Stock", "Required stock" )</f>
        <v>Less Stock</v>
      </c>
      <c r="L135">
        <f t="shared" si="2"/>
        <v>284.36</v>
      </c>
      <c r="M135" t="s">
        <v>522</v>
      </c>
      <c r="N135">
        <v>18</v>
      </c>
      <c r="O135" t="s">
        <v>523</v>
      </c>
      <c r="P135" t="str">
        <f>RIGHT(RIGHT(Table2[[#This Row],[last Updated]],12),4)</f>
        <v xml:space="preserve"> PDT</v>
      </c>
      <c r="Q135" t="s">
        <v>524</v>
      </c>
    </row>
    <row r="136" spans="1:17" x14ac:dyDescent="0.25">
      <c r="A136" t="s">
        <v>525</v>
      </c>
      <c r="B136" t="str">
        <f>UPPER(Table2[[#This Row],[Brand]])</f>
        <v>ZARA</v>
      </c>
      <c r="C136" t="str">
        <f>LOWER(Table2[[#This Row],[Brand]])</f>
        <v>zara</v>
      </c>
      <c r="D136" t="str">
        <f>PROPER(Table2[[#This Row],[Brand]])</f>
        <v>Zara</v>
      </c>
      <c r="E136" t="s">
        <v>4</v>
      </c>
      <c r="F136">
        <v>37.5</v>
      </c>
      <c r="G136" t="s">
        <v>526</v>
      </c>
      <c r="H13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$37.50</v>
      </c>
      <c r="I136" t="str">
        <f>LEFT(Table2[[#This Row],[priceWithCurrency]],3)</f>
        <v xml:space="preserve">US </v>
      </c>
      <c r="K136" t="str">
        <f>IF(Table2[[#This Row],[Available]]&lt;=50, "Less Stock", "Required stock" )</f>
        <v>Less Stock</v>
      </c>
      <c r="L136">
        <f t="shared" si="2"/>
        <v>2423.9599999999987</v>
      </c>
      <c r="M136" t="s">
        <v>145</v>
      </c>
      <c r="N136">
        <v>30</v>
      </c>
      <c r="O136" t="s">
        <v>527</v>
      </c>
      <c r="P136" t="str">
        <f>RIGHT(RIGHT(Table2[[#This Row],[last Updated]],12),4)</f>
        <v xml:space="preserve"> PDT</v>
      </c>
      <c r="Q136" t="s">
        <v>528</v>
      </c>
    </row>
    <row r="137" spans="1:17" x14ac:dyDescent="0.25">
      <c r="A137" t="s">
        <v>529</v>
      </c>
      <c r="B137" t="str">
        <f>UPPER(Table2[[#This Row],[Brand]])</f>
        <v>ARAMIS</v>
      </c>
      <c r="C137" t="str">
        <f>LOWER(Table2[[#This Row],[Brand]])</f>
        <v>aramis</v>
      </c>
      <c r="D137" t="str">
        <f>PROPER(Table2[[#This Row],[Brand]])</f>
        <v>Aramis</v>
      </c>
      <c r="E137" t="s">
        <v>15</v>
      </c>
      <c r="F137">
        <v>21.01</v>
      </c>
      <c r="G137" t="s">
        <v>530</v>
      </c>
      <c r="H13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$21.01</v>
      </c>
      <c r="I137" t="str">
        <f>LEFT(Table2[[#This Row],[priceWithCurrency]],3)</f>
        <v xml:space="preserve">US </v>
      </c>
      <c r="J137">
        <v>272</v>
      </c>
      <c r="K137" t="str">
        <f>IF(Table2[[#This Row],[Available]]&lt;=50, "Less Stock", "Required stock" )</f>
        <v>Required stock</v>
      </c>
      <c r="L137">
        <f t="shared" si="2"/>
        <v>2423.9599999999987</v>
      </c>
      <c r="M137" t="s">
        <v>531</v>
      </c>
      <c r="N137">
        <v>2486</v>
      </c>
      <c r="O137" t="s">
        <v>532</v>
      </c>
      <c r="P137" t="str">
        <f>RIGHT(RIGHT(Table2[[#This Row],[last Updated]],12),4)</f>
        <v xml:space="preserve"> PDT</v>
      </c>
      <c r="Q137" t="s">
        <v>121</v>
      </c>
    </row>
    <row r="138" spans="1:17" x14ac:dyDescent="0.25">
      <c r="A138" t="s">
        <v>66</v>
      </c>
      <c r="B138" t="str">
        <f>UPPER(Table2[[#This Row],[Brand]])</f>
        <v>SECERTMU</v>
      </c>
      <c r="C138" t="str">
        <f>LOWER(Table2[[#This Row],[Brand]])</f>
        <v>secertmu</v>
      </c>
      <c r="D138" t="str">
        <f>PROPER(Table2[[#This Row],[Brand]])</f>
        <v>Secertmu</v>
      </c>
      <c r="E138" t="s">
        <v>32</v>
      </c>
      <c r="F138">
        <v>6.97</v>
      </c>
      <c r="G138" t="s">
        <v>533</v>
      </c>
      <c r="H13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$6.97</v>
      </c>
      <c r="I138" t="str">
        <f>LEFT(Table2[[#This Row],[priceWithCurrency]],3)</f>
        <v xml:space="preserve">US </v>
      </c>
      <c r="J138">
        <v>10</v>
      </c>
      <c r="K138" t="str">
        <f>IF(Table2[[#This Row],[Available]]&lt;=50, "Less Stock", "Required stock" )</f>
        <v>Less Stock</v>
      </c>
      <c r="L138">
        <f t="shared" si="2"/>
        <v>2425.0199999999986</v>
      </c>
      <c r="M138" t="s">
        <v>534</v>
      </c>
      <c r="N138">
        <v>803</v>
      </c>
      <c r="O138" t="s">
        <v>535</v>
      </c>
      <c r="P138" t="str">
        <f>RIGHT(RIGHT(Table2[[#This Row],[last Updated]],12),4)</f>
        <v xml:space="preserve"> PDT</v>
      </c>
      <c r="Q138" t="s">
        <v>70</v>
      </c>
    </row>
    <row r="139" spans="1:17" x14ac:dyDescent="0.25">
      <c r="A139" t="s">
        <v>270</v>
      </c>
      <c r="B139" t="str">
        <f>UPPER(Table2[[#This Row],[Brand]])</f>
        <v>YVES SAINT LAURENT</v>
      </c>
      <c r="C139" t="str">
        <f>LOWER(Table2[[#This Row],[Brand]])</f>
        <v>yves saint laurent</v>
      </c>
      <c r="D139" t="str">
        <f>PROPER(Table2[[#This Row],[Brand]])</f>
        <v>Yves Saint Laurent</v>
      </c>
      <c r="E139" t="s">
        <v>536</v>
      </c>
      <c r="F139">
        <v>65.680000000000007</v>
      </c>
      <c r="G139" t="s">
        <v>537</v>
      </c>
      <c r="H13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$65.68</v>
      </c>
      <c r="I139" t="str">
        <f>LEFT(Table2[[#This Row],[priceWithCurrency]],3)</f>
        <v xml:space="preserve">US </v>
      </c>
      <c r="J139">
        <v>10</v>
      </c>
      <c r="K139" t="str">
        <f>IF(Table2[[#This Row],[Available]]&lt;=50, "Less Stock", "Required stock" )</f>
        <v>Less Stock</v>
      </c>
      <c r="L139">
        <f t="shared" si="2"/>
        <v>2443.1199999999985</v>
      </c>
      <c r="M139" t="s">
        <v>538</v>
      </c>
      <c r="N139">
        <v>11</v>
      </c>
      <c r="O139" t="s">
        <v>539</v>
      </c>
      <c r="P139" t="str">
        <f>RIGHT(RIGHT(Table2[[#This Row],[last Updated]],12),4)</f>
        <v xml:space="preserve"> PDT</v>
      </c>
      <c r="Q139" t="s">
        <v>280</v>
      </c>
    </row>
    <row r="140" spans="1:17" x14ac:dyDescent="0.25">
      <c r="A140" t="s">
        <v>9</v>
      </c>
      <c r="B140" t="str">
        <f>UPPER(Table2[[#This Row],[Brand]])</f>
        <v>AS SHOW</v>
      </c>
      <c r="C140" t="str">
        <f>LOWER(Table2[[#This Row],[Brand]])</f>
        <v>as show</v>
      </c>
      <c r="D140" t="str">
        <f>PROPER(Table2[[#This Row],[Brand]])</f>
        <v>As Show</v>
      </c>
      <c r="F140">
        <v>89.99</v>
      </c>
      <c r="G140" t="s">
        <v>377</v>
      </c>
      <c r="H14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$89.99</v>
      </c>
      <c r="I140" t="str">
        <f>LEFT(Table2[[#This Row],[priceWithCurrency]],3)</f>
        <v xml:space="preserve">US </v>
      </c>
      <c r="J140">
        <v>5</v>
      </c>
      <c r="K140" t="str">
        <f>IF(Table2[[#This Row],[Available]]&lt;=50, "Less Stock", "Required stock" )</f>
        <v>Less Stock</v>
      </c>
      <c r="L140">
        <f t="shared" si="2"/>
        <v>2443.1199999999985</v>
      </c>
      <c r="M140" t="s">
        <v>540</v>
      </c>
      <c r="N140">
        <v>5</v>
      </c>
      <c r="O140" t="s">
        <v>541</v>
      </c>
      <c r="P140" t="str">
        <f>RIGHT(RIGHT(Table2[[#This Row],[last Updated]],12),4)</f>
        <v xml:space="preserve"> PDT</v>
      </c>
      <c r="Q140" t="s">
        <v>542</v>
      </c>
    </row>
    <row r="141" spans="1:17" x14ac:dyDescent="0.25">
      <c r="A141" t="s">
        <v>543</v>
      </c>
      <c r="B141" t="str">
        <f>UPPER(Table2[[#This Row],[Brand]])</f>
        <v>JEAN PAUL GAULTIER</v>
      </c>
      <c r="C141" t="str">
        <f>LOWER(Table2[[#This Row],[Brand]])</f>
        <v>jean paul gaultier</v>
      </c>
      <c r="D141" t="str">
        <f>PROPER(Table2[[#This Row],[Brand]])</f>
        <v>Jean Paul Gaultier</v>
      </c>
      <c r="E141" t="s">
        <v>15</v>
      </c>
      <c r="F141">
        <v>51.99</v>
      </c>
      <c r="G141" t="s">
        <v>544</v>
      </c>
      <c r="H14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$51.99</v>
      </c>
      <c r="I141" t="str">
        <f>LEFT(Table2[[#This Row],[priceWithCurrency]],3)</f>
        <v xml:space="preserve">US </v>
      </c>
      <c r="J141">
        <v>10</v>
      </c>
      <c r="K141" t="str">
        <f>IF(Table2[[#This Row],[Available]]&lt;=50, "Less Stock", "Required stock" )</f>
        <v>Less Stock</v>
      </c>
      <c r="L141">
        <f t="shared" si="2"/>
        <v>70.66</v>
      </c>
      <c r="M141" t="s">
        <v>545</v>
      </c>
      <c r="N141">
        <v>73</v>
      </c>
      <c r="O141" t="s">
        <v>546</v>
      </c>
      <c r="P141" t="str">
        <f>RIGHT(RIGHT(Table2[[#This Row],[last Updated]],12),4)</f>
        <v xml:space="preserve"> PDT</v>
      </c>
      <c r="Q141" t="s">
        <v>55</v>
      </c>
    </row>
    <row r="142" spans="1:17" x14ac:dyDescent="0.25">
      <c r="A142" t="s">
        <v>476</v>
      </c>
      <c r="B142" t="str">
        <f>UPPER(Table2[[#This Row],[Brand]])</f>
        <v>HERMÈS</v>
      </c>
      <c r="C142" t="str">
        <f>LOWER(Table2[[#This Row],[Brand]])</f>
        <v>hermès</v>
      </c>
      <c r="D142" t="str">
        <f>PROPER(Table2[[#This Row],[Brand]])</f>
        <v>Hermès</v>
      </c>
      <c r="E142" t="s">
        <v>4</v>
      </c>
      <c r="F142">
        <v>28.99</v>
      </c>
      <c r="G142" t="s">
        <v>547</v>
      </c>
      <c r="H14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$28.99</v>
      </c>
      <c r="I142" t="str">
        <f>LEFT(Table2[[#This Row],[priceWithCurrency]],3)</f>
        <v xml:space="preserve">US </v>
      </c>
      <c r="K142" t="str">
        <f>IF(Table2[[#This Row],[Available]]&lt;=50, "Less Stock", "Required stock" )</f>
        <v>Less Stock</v>
      </c>
      <c r="L142">
        <f t="shared" si="2"/>
        <v>2368.3199999999988</v>
      </c>
      <c r="M142" t="s">
        <v>548</v>
      </c>
      <c r="N142">
        <v>23</v>
      </c>
      <c r="O142" t="s">
        <v>549</v>
      </c>
      <c r="P142" t="str">
        <f>RIGHT(RIGHT(Table2[[#This Row],[last Updated]],12),4)</f>
        <v xml:space="preserve"> PDT</v>
      </c>
      <c r="Q142" t="s">
        <v>550</v>
      </c>
    </row>
    <row r="143" spans="1:17" x14ac:dyDescent="0.25">
      <c r="A143" t="s">
        <v>270</v>
      </c>
      <c r="B143" t="str">
        <f>UPPER(Table2[[#This Row],[Brand]])</f>
        <v>YVES SAINT LAURENT</v>
      </c>
      <c r="C143" t="str">
        <f>LOWER(Table2[[#This Row],[Brand]])</f>
        <v>yves saint laurent</v>
      </c>
      <c r="D143" t="str">
        <f>PROPER(Table2[[#This Row],[Brand]])</f>
        <v>Yves Saint Laurent</v>
      </c>
      <c r="E143" t="s">
        <v>271</v>
      </c>
      <c r="F143">
        <v>60.99</v>
      </c>
      <c r="G143" t="s">
        <v>272</v>
      </c>
      <c r="H14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$60.99</v>
      </c>
      <c r="I143" t="str">
        <f>LEFT(Table2[[#This Row],[priceWithCurrency]],3)</f>
        <v xml:space="preserve">US </v>
      </c>
      <c r="J143">
        <v>2</v>
      </c>
      <c r="K143" t="str">
        <f>IF(Table2[[#This Row],[Available]]&lt;=50, "Less Stock", "Required stock" )</f>
        <v>Less Stock</v>
      </c>
      <c r="L143">
        <f t="shared" si="2"/>
        <v>2408.3099999999986</v>
      </c>
      <c r="M143" t="s">
        <v>551</v>
      </c>
      <c r="N143">
        <v>27</v>
      </c>
      <c r="O143" t="s">
        <v>552</v>
      </c>
      <c r="P143" t="str">
        <f>RIGHT(RIGHT(Table2[[#This Row],[last Updated]],12),4)</f>
        <v xml:space="preserve"> PDT</v>
      </c>
      <c r="Q143" t="s">
        <v>553</v>
      </c>
    </row>
    <row r="144" spans="1:17" x14ac:dyDescent="0.25">
      <c r="A144" t="s">
        <v>554</v>
      </c>
      <c r="B144" t="str">
        <f>UPPER(Table2[[#This Row],[Brand]])</f>
        <v>DAVIDOFF</v>
      </c>
      <c r="C144" t="str">
        <f>LOWER(Table2[[#This Row],[Brand]])</f>
        <v>davidoff</v>
      </c>
      <c r="D144" t="str">
        <f>PROPER(Table2[[#This Row],[Brand]])</f>
        <v>Davidoff</v>
      </c>
      <c r="E144" t="s">
        <v>15</v>
      </c>
      <c r="F144">
        <v>34.979999999999997</v>
      </c>
      <c r="G144" t="s">
        <v>555</v>
      </c>
      <c r="H14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$34.98</v>
      </c>
      <c r="I144" t="str">
        <f>LEFT(Table2[[#This Row],[priceWithCurrency]],3)</f>
        <v xml:space="preserve">US </v>
      </c>
      <c r="K144" t="str">
        <f>IF(Table2[[#This Row],[Available]]&lt;=50, "Less Stock", "Required stock" )</f>
        <v>Less Stock</v>
      </c>
      <c r="L144">
        <f t="shared" si="2"/>
        <v>2547.2999999999984</v>
      </c>
      <c r="M144" t="s">
        <v>556</v>
      </c>
      <c r="N144">
        <v>849</v>
      </c>
      <c r="O144" t="s">
        <v>557</v>
      </c>
      <c r="P144" t="str">
        <f>RIGHT(RIGHT(Table2[[#This Row],[last Updated]],12),4)</f>
        <v xml:space="preserve"> PDT</v>
      </c>
      <c r="Q144" t="s">
        <v>108</v>
      </c>
    </row>
    <row r="145" spans="1:17" x14ac:dyDescent="0.25">
      <c r="A145" t="s">
        <v>554</v>
      </c>
      <c r="B145" t="str">
        <f>UPPER(Table2[[#This Row],[Brand]])</f>
        <v>DAVIDOFF</v>
      </c>
      <c r="C145" t="str">
        <f>LOWER(Table2[[#This Row],[Brand]])</f>
        <v>davidoff</v>
      </c>
      <c r="D145" t="str">
        <f>PROPER(Table2[[#This Row],[Brand]])</f>
        <v>Davidoff</v>
      </c>
      <c r="E145" t="s">
        <v>15</v>
      </c>
      <c r="F145">
        <v>25.49</v>
      </c>
      <c r="G145" t="s">
        <v>558</v>
      </c>
      <c r="H14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$25.49</v>
      </c>
      <c r="I145" t="str">
        <f>LEFT(Table2[[#This Row],[priceWithCurrency]],3)</f>
        <v xml:space="preserve">US </v>
      </c>
      <c r="J145">
        <v>4</v>
      </c>
      <c r="K145" t="str">
        <f>IF(Table2[[#This Row],[Available]]&lt;=50, "Less Stock", "Required stock" )</f>
        <v>Less Stock</v>
      </c>
      <c r="L145">
        <f t="shared" si="2"/>
        <v>2536.3099999999986</v>
      </c>
      <c r="M145" t="s">
        <v>559</v>
      </c>
      <c r="N145">
        <v>64</v>
      </c>
      <c r="O145" t="s">
        <v>560</v>
      </c>
      <c r="P145" t="str">
        <f>RIGHT(RIGHT(Table2[[#This Row],[last Updated]],12),4)</f>
        <v xml:space="preserve"> PDT</v>
      </c>
      <c r="Q145" t="s">
        <v>561</v>
      </c>
    </row>
    <row r="146" spans="1:17" x14ac:dyDescent="0.25">
      <c r="A146" t="s">
        <v>208</v>
      </c>
      <c r="B146" t="str">
        <f>UPPER(Table2[[#This Row],[Brand]])</f>
        <v>POLO RALPH LAUREN</v>
      </c>
      <c r="C146" t="str">
        <f>LOWER(Table2[[#This Row],[Brand]])</f>
        <v>polo ralph lauren</v>
      </c>
      <c r="D146" t="str">
        <f>PROPER(Table2[[#This Row],[Brand]])</f>
        <v>Polo Ralph Lauren</v>
      </c>
      <c r="E146" t="s">
        <v>15</v>
      </c>
      <c r="F146">
        <v>41.99</v>
      </c>
      <c r="G146" t="s">
        <v>562</v>
      </c>
      <c r="H14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$41.99</v>
      </c>
      <c r="I146" t="str">
        <f>LEFT(Table2[[#This Row],[priceWithCurrency]],3)</f>
        <v xml:space="preserve">US </v>
      </c>
      <c r="J146">
        <v>2</v>
      </c>
      <c r="K146" t="str">
        <f>IF(Table2[[#This Row],[Available]]&lt;=50, "Less Stock", "Required stock" )</f>
        <v>Less Stock</v>
      </c>
      <c r="L146">
        <f t="shared" si="2"/>
        <v>2529.8099999999986</v>
      </c>
      <c r="M146" t="s">
        <v>563</v>
      </c>
      <c r="N146">
        <v>38</v>
      </c>
      <c r="O146" t="s">
        <v>564</v>
      </c>
      <c r="P146" t="str">
        <f>RIGHT(RIGHT(Table2[[#This Row],[last Updated]],12),4)</f>
        <v xml:space="preserve"> PDT</v>
      </c>
      <c r="Q146" t="s">
        <v>24</v>
      </c>
    </row>
    <row r="147" spans="1:17" x14ac:dyDescent="0.25">
      <c r="A147" t="s">
        <v>565</v>
      </c>
      <c r="B147" t="str">
        <f>UPPER(Table2[[#This Row],[Brand]])</f>
        <v>AS PICTURE SHOWN</v>
      </c>
      <c r="C147" t="str">
        <f>LOWER(Table2[[#This Row],[Brand]])</f>
        <v>as picture shown</v>
      </c>
      <c r="D147" t="str">
        <f>PROPER(Table2[[#This Row],[Brand]])</f>
        <v>As Picture Shown</v>
      </c>
      <c r="E147" t="s">
        <v>4</v>
      </c>
      <c r="F147">
        <v>99.99</v>
      </c>
      <c r="G147" t="s">
        <v>144</v>
      </c>
      <c r="H14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$99.99</v>
      </c>
      <c r="I147" t="str">
        <f>LEFT(Table2[[#This Row],[priceWithCurrency]],3)</f>
        <v xml:space="preserve">US </v>
      </c>
      <c r="J147">
        <v>4</v>
      </c>
      <c r="K147" t="str">
        <f>IF(Table2[[#This Row],[Available]]&lt;=50, "Less Stock", "Required stock" )</f>
        <v>Less Stock</v>
      </c>
      <c r="L147">
        <f t="shared" si="2"/>
        <v>767.61</v>
      </c>
      <c r="M147" t="s">
        <v>566</v>
      </c>
      <c r="N147">
        <v>8</v>
      </c>
      <c r="O147" t="s">
        <v>567</v>
      </c>
      <c r="P147" t="str">
        <f>RIGHT(RIGHT(Table2[[#This Row],[last Updated]],12),4)</f>
        <v xml:space="preserve"> PDT</v>
      </c>
      <c r="Q147" t="s">
        <v>568</v>
      </c>
    </row>
    <row r="148" spans="1:17" x14ac:dyDescent="0.25">
      <c r="A148" t="s">
        <v>90</v>
      </c>
      <c r="B148" t="str">
        <f>UPPER(Table2[[#This Row],[Brand]])</f>
        <v>ARMAF</v>
      </c>
      <c r="C148" t="str">
        <f>LOWER(Table2[[#This Row],[Brand]])</f>
        <v>armaf</v>
      </c>
      <c r="D148" t="str">
        <f>PROPER(Table2[[#This Row],[Brand]])</f>
        <v>Armaf</v>
      </c>
      <c r="E148" t="s">
        <v>4</v>
      </c>
      <c r="F148">
        <v>27.3</v>
      </c>
      <c r="G148" t="s">
        <v>569</v>
      </c>
      <c r="H14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$27.30</v>
      </c>
      <c r="I148" t="str">
        <f>LEFT(Table2[[#This Row],[priceWithCurrency]],3)</f>
        <v xml:space="preserve">US </v>
      </c>
      <c r="J148">
        <v>10</v>
      </c>
      <c r="K148" t="str">
        <f>IF(Table2[[#This Row],[Available]]&lt;=50, "Less Stock", "Required stock" )</f>
        <v>Less Stock</v>
      </c>
      <c r="L148">
        <f t="shared" si="2"/>
        <v>2484.8699999999981</v>
      </c>
      <c r="M148" t="s">
        <v>337</v>
      </c>
      <c r="N148">
        <v>179</v>
      </c>
      <c r="O148" t="s">
        <v>570</v>
      </c>
      <c r="P148" t="str">
        <f>RIGHT(RIGHT(Table2[[#This Row],[last Updated]],12),4)</f>
        <v xml:space="preserve"> PDT</v>
      </c>
      <c r="Q148" t="s">
        <v>108</v>
      </c>
    </row>
    <row r="149" spans="1:17" x14ac:dyDescent="0.25">
      <c r="A149" t="s">
        <v>14</v>
      </c>
      <c r="B149" t="str">
        <f>UPPER(Table2[[#This Row],[Brand]])</f>
        <v>UNBRANDED</v>
      </c>
      <c r="C149" t="str">
        <f>LOWER(Table2[[#This Row],[Brand]])</f>
        <v>unbranded</v>
      </c>
      <c r="D149" t="str">
        <f>PROPER(Table2[[#This Row],[Brand]])</f>
        <v>Unbranded</v>
      </c>
      <c r="E149" t="s">
        <v>32</v>
      </c>
      <c r="F149">
        <v>48</v>
      </c>
      <c r="G149" t="s">
        <v>571</v>
      </c>
      <c r="H14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$48.00</v>
      </c>
      <c r="I149" t="str">
        <f>LEFT(Table2[[#This Row],[priceWithCurrency]],3)</f>
        <v xml:space="preserve">US </v>
      </c>
      <c r="J149">
        <v>10</v>
      </c>
      <c r="K149" t="str">
        <f>IF(Table2[[#This Row],[Available]]&lt;=50, "Less Stock", "Required stock" )</f>
        <v>Less Stock</v>
      </c>
      <c r="L149">
        <f t="shared" si="2"/>
        <v>2514.0599999999981</v>
      </c>
      <c r="M149" t="s">
        <v>572</v>
      </c>
      <c r="N149">
        <v>7</v>
      </c>
      <c r="P149" t="str">
        <f>RIGHT(RIGHT(Table2[[#This Row],[last Updated]],12),4)</f>
        <v/>
      </c>
      <c r="Q149" t="s">
        <v>573</v>
      </c>
    </row>
    <row r="150" spans="1:17" x14ac:dyDescent="0.25">
      <c r="A150" t="s">
        <v>574</v>
      </c>
      <c r="B150" t="str">
        <f>UPPER(Table2[[#This Row],[Brand]])</f>
        <v>BVLGARI</v>
      </c>
      <c r="C150" t="str">
        <f>LOWER(Table2[[#This Row],[Brand]])</f>
        <v>bvlgari</v>
      </c>
      <c r="D150" t="str">
        <f>PROPER(Table2[[#This Row],[Brand]])</f>
        <v>Bvlgari</v>
      </c>
      <c r="E150" t="s">
        <v>493</v>
      </c>
      <c r="F150">
        <v>45.68</v>
      </c>
      <c r="G150" t="s">
        <v>575</v>
      </c>
      <c r="H15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$45.68</v>
      </c>
      <c r="I150" t="str">
        <f>LEFT(Table2[[#This Row],[priceWithCurrency]],3)</f>
        <v xml:space="preserve">US </v>
      </c>
      <c r="J150">
        <v>10</v>
      </c>
      <c r="K150" t="str">
        <f>IF(Table2[[#This Row],[Available]]&lt;=50, "Less Stock", "Required stock" )</f>
        <v>Less Stock</v>
      </c>
      <c r="L150">
        <f t="shared" si="2"/>
        <v>2530.449999999998</v>
      </c>
      <c r="M150" t="s">
        <v>576</v>
      </c>
      <c r="N150">
        <v>5</v>
      </c>
      <c r="O150" t="s">
        <v>577</v>
      </c>
      <c r="P150" t="str">
        <f>RIGHT(RIGHT(Table2[[#This Row],[last Updated]],12),4)</f>
        <v xml:space="preserve"> PDT</v>
      </c>
      <c r="Q150" t="s">
        <v>280</v>
      </c>
    </row>
    <row r="151" spans="1:17" x14ac:dyDescent="0.25">
      <c r="A151" t="s">
        <v>469</v>
      </c>
      <c r="B151" t="str">
        <f>UPPER(Table2[[#This Row],[Brand]])</f>
        <v>CHRISTIAN DIOR</v>
      </c>
      <c r="C151" t="str">
        <f>LOWER(Table2[[#This Row],[Brand]])</f>
        <v>christian dior</v>
      </c>
      <c r="D151" t="str">
        <f>PROPER(Table2[[#This Row],[Brand]])</f>
        <v>Christian Dior</v>
      </c>
      <c r="E151" t="s">
        <v>4</v>
      </c>
      <c r="F151">
        <v>159.99</v>
      </c>
      <c r="G151" t="s">
        <v>578</v>
      </c>
      <c r="H15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$159.99</v>
      </c>
      <c r="I151" t="str">
        <f>LEFT(Table2[[#This Row],[priceWithCurrency]],3)</f>
        <v xml:space="preserve">US </v>
      </c>
      <c r="J151">
        <v>10</v>
      </c>
      <c r="K151" t="str">
        <f>IF(Table2[[#This Row],[Available]]&lt;=50, "Less Stock", "Required stock" )</f>
        <v>Less Stock</v>
      </c>
      <c r="L151">
        <f t="shared" si="2"/>
        <v>27.03</v>
      </c>
      <c r="M151" t="s">
        <v>579</v>
      </c>
      <c r="N151">
        <v>160</v>
      </c>
      <c r="O151" t="s">
        <v>580</v>
      </c>
      <c r="P151" t="str">
        <f>RIGHT(RIGHT(Table2[[#This Row],[last Updated]],12),4)</f>
        <v xml:space="preserve"> PDT</v>
      </c>
      <c r="Q151" t="s">
        <v>89</v>
      </c>
    </row>
    <row r="152" spans="1:17" x14ac:dyDescent="0.25">
      <c r="A152" t="s">
        <v>14</v>
      </c>
      <c r="B152" t="str">
        <f>UPPER(Table2[[#This Row],[Brand]])</f>
        <v>UNBRANDED</v>
      </c>
      <c r="C152" t="str">
        <f>LOWER(Table2[[#This Row],[Brand]])</f>
        <v>unbranded</v>
      </c>
      <c r="D152" t="str">
        <f>PROPER(Table2[[#This Row],[Brand]])</f>
        <v>Unbranded</v>
      </c>
      <c r="E152" t="s">
        <v>32</v>
      </c>
      <c r="F152">
        <v>17.989999999999998</v>
      </c>
      <c r="G152" t="s">
        <v>403</v>
      </c>
      <c r="H15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$17.99</v>
      </c>
      <c r="I152" t="str">
        <f>LEFT(Table2[[#This Row],[priceWithCurrency]],3)</f>
        <v xml:space="preserve">US </v>
      </c>
      <c r="J152">
        <v>10</v>
      </c>
      <c r="K152" t="str">
        <f>IF(Table2[[#This Row],[Available]]&lt;=50, "Less Stock", "Required stock" )</f>
        <v>Less Stock</v>
      </c>
      <c r="L152">
        <f t="shared" si="2"/>
        <v>773.85</v>
      </c>
      <c r="M152" t="s">
        <v>292</v>
      </c>
      <c r="N152">
        <v>3</v>
      </c>
      <c r="O152" t="s">
        <v>581</v>
      </c>
      <c r="P152" t="str">
        <f>RIGHT(RIGHT(Table2[[#This Row],[last Updated]],12),4)</f>
        <v xml:space="preserve"> PDT</v>
      </c>
      <c r="Q152" t="s">
        <v>582</v>
      </c>
    </row>
    <row r="153" spans="1:17" x14ac:dyDescent="0.25">
      <c r="A153" t="s">
        <v>56</v>
      </c>
      <c r="B153" t="str">
        <f>UPPER(Table2[[#This Row],[Brand]])</f>
        <v>RALPH LAUREN</v>
      </c>
      <c r="C153" t="str">
        <f>LOWER(Table2[[#This Row],[Brand]])</f>
        <v>ralph lauren</v>
      </c>
      <c r="D153" t="str">
        <f>PROPER(Table2[[#This Row],[Brand]])</f>
        <v>Ralph Lauren</v>
      </c>
      <c r="E153" t="s">
        <v>15</v>
      </c>
      <c r="F153">
        <v>35.99</v>
      </c>
      <c r="G153" t="s">
        <v>287</v>
      </c>
      <c r="H15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$35.99</v>
      </c>
      <c r="I153" t="str">
        <f>LEFT(Table2[[#This Row],[priceWithCurrency]],3)</f>
        <v xml:space="preserve">US </v>
      </c>
      <c r="J153">
        <v>10</v>
      </c>
      <c r="K153" t="str">
        <f>IF(Table2[[#This Row],[Available]]&lt;=50, "Less Stock", "Required stock" )</f>
        <v>Less Stock</v>
      </c>
      <c r="L153">
        <f t="shared" si="2"/>
        <v>2501.4199999999983</v>
      </c>
      <c r="M153" t="s">
        <v>583</v>
      </c>
      <c r="N153">
        <v>4520</v>
      </c>
      <c r="O153" t="s">
        <v>584</v>
      </c>
      <c r="P153" t="str">
        <f>RIGHT(RIGHT(Table2[[#This Row],[last Updated]],12),4)</f>
        <v xml:space="preserve"> PDT</v>
      </c>
      <c r="Q153" t="s">
        <v>108</v>
      </c>
    </row>
    <row r="154" spans="1:17" x14ac:dyDescent="0.25">
      <c r="A154" t="s">
        <v>500</v>
      </c>
      <c r="B154" t="str">
        <f>UPPER(Table2[[#This Row],[Brand]])</f>
        <v>DOSSIER</v>
      </c>
      <c r="C154" t="str">
        <f>LOWER(Table2[[#This Row],[Brand]])</f>
        <v>dossier</v>
      </c>
      <c r="D154" t="str">
        <f>PROPER(Table2[[#This Row],[Brand]])</f>
        <v>Dossier</v>
      </c>
      <c r="E154" t="s">
        <v>4</v>
      </c>
      <c r="F154">
        <v>20</v>
      </c>
      <c r="G154" t="s">
        <v>501</v>
      </c>
      <c r="H15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$20.00</v>
      </c>
      <c r="I154" t="str">
        <f>LEFT(Table2[[#This Row],[priceWithCurrency]],3)</f>
        <v xml:space="preserve">US </v>
      </c>
      <c r="J154">
        <v>10</v>
      </c>
      <c r="K154" t="str">
        <f>IF(Table2[[#This Row],[Available]]&lt;=50, "Less Stock", "Required stock" )</f>
        <v>Less Stock</v>
      </c>
      <c r="L154">
        <f t="shared" si="2"/>
        <v>773.85</v>
      </c>
      <c r="M154" t="s">
        <v>585</v>
      </c>
      <c r="P154" t="str">
        <f>RIGHT(RIGHT(Table2[[#This Row],[last Updated]],12),4)</f>
        <v/>
      </c>
      <c r="Q154" t="s">
        <v>503</v>
      </c>
    </row>
    <row r="155" spans="1:17" x14ac:dyDescent="0.25">
      <c r="A155" t="s">
        <v>586</v>
      </c>
      <c r="B155" t="str">
        <f>UPPER(Table2[[#This Row],[Brand]])</f>
        <v>PARFUMS DE MARLY</v>
      </c>
      <c r="C155" t="str">
        <f>LOWER(Table2[[#This Row],[Brand]])</f>
        <v>parfums de marly</v>
      </c>
      <c r="D155" t="str">
        <f>PROPER(Table2[[#This Row],[Brand]])</f>
        <v>Parfums De Marly</v>
      </c>
      <c r="E155" t="s">
        <v>4</v>
      </c>
      <c r="F155">
        <v>82.99</v>
      </c>
      <c r="G155" t="s">
        <v>587</v>
      </c>
      <c r="H15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$82.99</v>
      </c>
      <c r="I155" t="str">
        <f>LEFT(Table2[[#This Row],[priceWithCurrency]],3)</f>
        <v xml:space="preserve">US </v>
      </c>
      <c r="J155">
        <v>3</v>
      </c>
      <c r="K155" t="str">
        <f>IF(Table2[[#This Row],[Available]]&lt;=50, "Less Stock", "Required stock" )</f>
        <v>Less Stock</v>
      </c>
      <c r="L155">
        <f t="shared" si="2"/>
        <v>284.36</v>
      </c>
      <c r="M155" t="s">
        <v>588</v>
      </c>
      <c r="N155">
        <v>5</v>
      </c>
      <c r="O155" t="s">
        <v>589</v>
      </c>
      <c r="P155" t="str">
        <f>RIGHT(RIGHT(Table2[[#This Row],[last Updated]],12),4)</f>
        <v xml:space="preserve"> PDT</v>
      </c>
      <c r="Q155" t="s">
        <v>135</v>
      </c>
    </row>
    <row r="156" spans="1:17" x14ac:dyDescent="0.25">
      <c r="A156" t="s">
        <v>66</v>
      </c>
      <c r="B156" t="str">
        <f>UPPER(Table2[[#This Row],[Brand]])</f>
        <v>SECERTMU</v>
      </c>
      <c r="C156" t="str">
        <f>LOWER(Table2[[#This Row],[Brand]])</f>
        <v>secertmu</v>
      </c>
      <c r="D156" t="str">
        <f>PROPER(Table2[[#This Row],[Brand]])</f>
        <v>Secertmu</v>
      </c>
      <c r="E156" t="s">
        <v>590</v>
      </c>
      <c r="F156">
        <v>11.99</v>
      </c>
      <c r="G156" t="s">
        <v>591</v>
      </c>
      <c r="H15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$11.99</v>
      </c>
      <c r="I156" t="str">
        <f>LEFT(Table2[[#This Row],[priceWithCurrency]],3)</f>
        <v xml:space="preserve">US </v>
      </c>
      <c r="J156">
        <v>10</v>
      </c>
      <c r="K156" t="str">
        <f>IF(Table2[[#This Row],[Available]]&lt;=50, "Less Stock", "Required stock" )</f>
        <v>Less Stock</v>
      </c>
      <c r="L156">
        <f t="shared" si="2"/>
        <v>2501.4199999999983</v>
      </c>
      <c r="M156" t="s">
        <v>538</v>
      </c>
      <c r="N156">
        <v>11</v>
      </c>
      <c r="O156" t="s">
        <v>592</v>
      </c>
      <c r="P156" t="str">
        <f>RIGHT(RIGHT(Table2[[#This Row],[last Updated]],12),4)</f>
        <v xml:space="preserve"> PDT</v>
      </c>
      <c r="Q156" t="s">
        <v>70</v>
      </c>
    </row>
    <row r="157" spans="1:17" x14ac:dyDescent="0.25">
      <c r="A157" t="s">
        <v>593</v>
      </c>
      <c r="B157" t="str">
        <f>UPPER(Table2[[#This Row],[Brand]])</f>
        <v>SALVATORE FERRAGAMO</v>
      </c>
      <c r="C157" t="str">
        <f>LOWER(Table2[[#This Row],[Brand]])</f>
        <v>salvatore ferragamo</v>
      </c>
      <c r="D157" t="str">
        <f>PROPER(Table2[[#This Row],[Brand]])</f>
        <v>Salvatore Ferragamo</v>
      </c>
      <c r="E157" t="s">
        <v>15</v>
      </c>
      <c r="F157">
        <v>32.99</v>
      </c>
      <c r="G157" t="s">
        <v>594</v>
      </c>
      <c r="H15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$32.99</v>
      </c>
      <c r="I157" t="str">
        <f>LEFT(Table2[[#This Row],[priceWithCurrency]],3)</f>
        <v xml:space="preserve">US </v>
      </c>
      <c r="K157" t="str">
        <f>IF(Table2[[#This Row],[Available]]&lt;=50, "Less Stock", "Required stock" )</f>
        <v>Less Stock</v>
      </c>
      <c r="L157">
        <f t="shared" si="2"/>
        <v>2527.2799999999984</v>
      </c>
      <c r="M157" t="s">
        <v>595</v>
      </c>
      <c r="N157">
        <v>10</v>
      </c>
      <c r="O157" t="s">
        <v>596</v>
      </c>
      <c r="P157" t="str">
        <f>RIGHT(RIGHT(Table2[[#This Row],[last Updated]],12),4)</f>
        <v xml:space="preserve"> PDT</v>
      </c>
      <c r="Q157" t="s">
        <v>226</v>
      </c>
    </row>
    <row r="158" spans="1:17" x14ac:dyDescent="0.25">
      <c r="A158" t="s">
        <v>20</v>
      </c>
      <c r="B158" t="str">
        <f>UPPER(Table2[[#This Row],[Brand]])</f>
        <v>GIORGIO ARMANI</v>
      </c>
      <c r="C158" t="str">
        <f>LOWER(Table2[[#This Row],[Brand]])</f>
        <v>giorgio armani</v>
      </c>
      <c r="D158" t="str">
        <f>PROPER(Table2[[#This Row],[Brand]])</f>
        <v>Giorgio Armani</v>
      </c>
      <c r="E158" t="s">
        <v>15</v>
      </c>
      <c r="F158">
        <v>28.99</v>
      </c>
      <c r="G158" t="s">
        <v>597</v>
      </c>
      <c r="H15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$28.99</v>
      </c>
      <c r="I158" t="str">
        <f>LEFT(Table2[[#This Row],[priceWithCurrency]],3)</f>
        <v xml:space="preserve">US </v>
      </c>
      <c r="J158">
        <v>9</v>
      </c>
      <c r="K158" t="str">
        <f>IF(Table2[[#This Row],[Available]]&lt;=50, "Less Stock", "Required stock" )</f>
        <v>Less Stock</v>
      </c>
      <c r="L158">
        <f t="shared" si="2"/>
        <v>736.87000000000012</v>
      </c>
      <c r="M158" t="s">
        <v>598</v>
      </c>
      <c r="N158">
        <v>111</v>
      </c>
      <c r="O158" t="s">
        <v>599</v>
      </c>
      <c r="P158" t="str">
        <f>RIGHT(RIGHT(Table2[[#This Row],[last Updated]],12),4)</f>
        <v xml:space="preserve"> PDT</v>
      </c>
      <c r="Q158" t="s">
        <v>135</v>
      </c>
    </row>
    <row r="159" spans="1:17" x14ac:dyDescent="0.25">
      <c r="A159" t="s">
        <v>600</v>
      </c>
      <c r="B159" t="str">
        <f>UPPER(Table2[[#This Row],[Brand]])</f>
        <v>MONTBLANC</v>
      </c>
      <c r="C159" t="str">
        <f>LOWER(Table2[[#This Row],[Brand]])</f>
        <v>montblanc</v>
      </c>
      <c r="D159" t="str">
        <f>PROPER(Table2[[#This Row],[Brand]])</f>
        <v>Montblanc</v>
      </c>
      <c r="E159" t="s">
        <v>26</v>
      </c>
      <c r="F159">
        <v>35.71</v>
      </c>
      <c r="G159" t="s">
        <v>327</v>
      </c>
      <c r="H15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$35.71</v>
      </c>
      <c r="I159" t="str">
        <f>LEFT(Table2[[#This Row],[priceWithCurrency]],3)</f>
        <v xml:space="preserve">US </v>
      </c>
      <c r="J159">
        <v>3</v>
      </c>
      <c r="K159" t="str">
        <f>IF(Table2[[#This Row],[Available]]&lt;=50, "Less Stock", "Required stock" )</f>
        <v>Less Stock</v>
      </c>
      <c r="L159">
        <f t="shared" si="2"/>
        <v>284.36</v>
      </c>
      <c r="M159" t="s">
        <v>601</v>
      </c>
      <c r="N159">
        <v>30</v>
      </c>
      <c r="O159" t="s">
        <v>602</v>
      </c>
      <c r="P159" t="str">
        <f>RIGHT(RIGHT(Table2[[#This Row],[last Updated]],12),4)</f>
        <v xml:space="preserve"> PDT</v>
      </c>
      <c r="Q159" t="s">
        <v>30</v>
      </c>
    </row>
    <row r="160" spans="1:17" x14ac:dyDescent="0.25">
      <c r="A160" t="s">
        <v>90</v>
      </c>
      <c r="B160" t="str">
        <f>UPPER(Table2[[#This Row],[Brand]])</f>
        <v>ARMAF</v>
      </c>
      <c r="C160" t="str">
        <f>LOWER(Table2[[#This Row],[Brand]])</f>
        <v>armaf</v>
      </c>
      <c r="D160" t="str">
        <f>PROPER(Table2[[#This Row],[Brand]])</f>
        <v>Armaf</v>
      </c>
      <c r="E160" t="s">
        <v>4</v>
      </c>
      <c r="F160">
        <v>39.99</v>
      </c>
      <c r="G160" t="s">
        <v>514</v>
      </c>
      <c r="H16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$39.99</v>
      </c>
      <c r="I160" t="str">
        <f>LEFT(Table2[[#This Row],[priceWithCurrency]],3)</f>
        <v xml:space="preserve">US </v>
      </c>
      <c r="J160">
        <v>3</v>
      </c>
      <c r="K160" t="str">
        <f>IF(Table2[[#This Row],[Available]]&lt;=50, "Less Stock", "Required stock" )</f>
        <v>Less Stock</v>
      </c>
      <c r="L160">
        <f t="shared" si="2"/>
        <v>175.49</v>
      </c>
      <c r="M160" t="s">
        <v>603</v>
      </c>
      <c r="N160">
        <v>76</v>
      </c>
      <c r="O160" t="s">
        <v>604</v>
      </c>
      <c r="P160" t="str">
        <f>RIGHT(RIGHT(Table2[[#This Row],[last Updated]],12),4)</f>
        <v xml:space="preserve"> PDT</v>
      </c>
      <c r="Q160" t="s">
        <v>503</v>
      </c>
    </row>
    <row r="161" spans="1:17" x14ac:dyDescent="0.25">
      <c r="A161" t="s">
        <v>20</v>
      </c>
      <c r="B161" t="str">
        <f>UPPER(Table2[[#This Row],[Brand]])</f>
        <v>GIORGIO ARMANI</v>
      </c>
      <c r="C161" t="str">
        <f>LOWER(Table2[[#This Row],[Brand]])</f>
        <v>giorgio armani</v>
      </c>
      <c r="D161" t="str">
        <f>PROPER(Table2[[#This Row],[Brand]])</f>
        <v>Giorgio Armani</v>
      </c>
      <c r="E161" t="s">
        <v>15</v>
      </c>
      <c r="F161">
        <v>29.99</v>
      </c>
      <c r="G161" t="s">
        <v>91</v>
      </c>
      <c r="H16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$29.99</v>
      </c>
      <c r="I161" t="str">
        <f>LEFT(Table2[[#This Row],[priceWithCurrency]],3)</f>
        <v xml:space="preserve">US </v>
      </c>
      <c r="J161">
        <v>10</v>
      </c>
      <c r="K161" t="str">
        <f>IF(Table2[[#This Row],[Available]]&lt;=50, "Less Stock", "Required stock" )</f>
        <v>Less Stock</v>
      </c>
      <c r="L161">
        <f t="shared" si="2"/>
        <v>706.80000000000007</v>
      </c>
      <c r="M161" t="s">
        <v>605</v>
      </c>
      <c r="N161">
        <v>410</v>
      </c>
      <c r="O161" t="s">
        <v>606</v>
      </c>
      <c r="P161" t="str">
        <f>RIGHT(RIGHT(Table2[[#This Row],[last Updated]],12),4)</f>
        <v xml:space="preserve"> PDT</v>
      </c>
      <c r="Q161" t="s">
        <v>607</v>
      </c>
    </row>
    <row r="162" spans="1:17" x14ac:dyDescent="0.25">
      <c r="A162" t="s">
        <v>608</v>
      </c>
      <c r="B162" t="str">
        <f>UPPER(Table2[[#This Row],[Brand]])</f>
        <v>ARD AL ZAAFARAN</v>
      </c>
      <c r="C162" t="str">
        <f>LOWER(Table2[[#This Row],[Brand]])</f>
        <v>ard al zaafaran</v>
      </c>
      <c r="D162" t="str">
        <f>PROPER(Table2[[#This Row],[Brand]])</f>
        <v>Ard Al Zaafaran</v>
      </c>
      <c r="E162" t="s">
        <v>26</v>
      </c>
      <c r="F162">
        <v>17.850000000000001</v>
      </c>
      <c r="G162" t="s">
        <v>609</v>
      </c>
      <c r="H16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$17.85</v>
      </c>
      <c r="I162" t="str">
        <f>LEFT(Table2[[#This Row],[priceWithCurrency]],3)</f>
        <v xml:space="preserve">US </v>
      </c>
      <c r="J162">
        <v>3</v>
      </c>
      <c r="K162" t="str">
        <f>IF(Table2[[#This Row],[Available]]&lt;=50, "Less Stock", "Required stock" )</f>
        <v>Less Stock</v>
      </c>
      <c r="L162">
        <f t="shared" si="2"/>
        <v>2634.139999999999</v>
      </c>
      <c r="M162" t="s">
        <v>610</v>
      </c>
      <c r="N162">
        <v>29</v>
      </c>
      <c r="O162" t="s">
        <v>611</v>
      </c>
      <c r="P162" t="str">
        <f>RIGHT(RIGHT(Table2[[#This Row],[last Updated]],12),4)</f>
        <v xml:space="preserve"> PDT</v>
      </c>
      <c r="Q162" t="s">
        <v>30</v>
      </c>
    </row>
    <row r="163" spans="1:17" x14ac:dyDescent="0.25">
      <c r="A163" t="s">
        <v>612</v>
      </c>
      <c r="B163" t="str">
        <f>UPPER(Table2[[#This Row],[Brand]])</f>
        <v>KARL LAGERFELD</v>
      </c>
      <c r="C163" t="str">
        <f>LOWER(Table2[[#This Row],[Brand]])</f>
        <v>karl lagerfeld</v>
      </c>
      <c r="D163" t="str">
        <f>PROPER(Table2[[#This Row],[Brand]])</f>
        <v>Karl Lagerfeld</v>
      </c>
      <c r="E163" t="s">
        <v>15</v>
      </c>
      <c r="F163">
        <v>16.91</v>
      </c>
      <c r="G163" t="s">
        <v>613</v>
      </c>
      <c r="H16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$16.91</v>
      </c>
      <c r="I163" t="str">
        <f>LEFT(Table2[[#This Row],[priceWithCurrency]],3)</f>
        <v xml:space="preserve">US </v>
      </c>
      <c r="J163">
        <v>6</v>
      </c>
      <c r="K163" t="str">
        <f>IF(Table2[[#This Row],[Available]]&lt;=50, "Less Stock", "Required stock" )</f>
        <v>Less Stock</v>
      </c>
      <c r="L163">
        <f t="shared" si="2"/>
        <v>29</v>
      </c>
      <c r="M163" t="s">
        <v>614</v>
      </c>
      <c r="N163">
        <v>825</v>
      </c>
      <c r="O163" t="s">
        <v>615</v>
      </c>
      <c r="P163" t="str">
        <f>RIGHT(RIGHT(Table2[[#This Row],[last Updated]],12),4)</f>
        <v xml:space="preserve"> PST</v>
      </c>
      <c r="Q163" t="s">
        <v>226</v>
      </c>
    </row>
    <row r="164" spans="1:17" x14ac:dyDescent="0.25">
      <c r="A164" t="s">
        <v>20</v>
      </c>
      <c r="B164" t="str">
        <f>UPPER(Table2[[#This Row],[Brand]])</f>
        <v>GIORGIO ARMANI</v>
      </c>
      <c r="C164" t="str">
        <f>LOWER(Table2[[#This Row],[Brand]])</f>
        <v>giorgio armani</v>
      </c>
      <c r="D164" t="str">
        <f>PROPER(Table2[[#This Row],[Brand]])</f>
        <v>Giorgio Armani</v>
      </c>
      <c r="E164" t="s">
        <v>4</v>
      </c>
      <c r="F164">
        <v>69.989999999999995</v>
      </c>
      <c r="G164" t="s">
        <v>616</v>
      </c>
      <c r="H16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$69.99</v>
      </c>
      <c r="I164" t="str">
        <f>LEFT(Table2[[#This Row],[priceWithCurrency]],3)</f>
        <v xml:space="preserve">US </v>
      </c>
      <c r="J164">
        <v>2</v>
      </c>
      <c r="K164" t="str">
        <f>IF(Table2[[#This Row],[Available]]&lt;=50, "Less Stock", "Required stock" )</f>
        <v>Less Stock</v>
      </c>
      <c r="L164">
        <f t="shared" si="2"/>
        <v>2671.1299999999997</v>
      </c>
      <c r="M164" t="s">
        <v>617</v>
      </c>
      <c r="N164">
        <v>81</v>
      </c>
      <c r="O164" t="s">
        <v>618</v>
      </c>
      <c r="P164" t="str">
        <f>RIGHT(RIGHT(Table2[[#This Row],[last Updated]],12),4)</f>
        <v xml:space="preserve"> PDT</v>
      </c>
      <c r="Q164" t="s">
        <v>619</v>
      </c>
    </row>
    <row r="165" spans="1:17" x14ac:dyDescent="0.25">
      <c r="A165" t="s">
        <v>554</v>
      </c>
      <c r="B165" t="str">
        <f>UPPER(Table2[[#This Row],[Brand]])</f>
        <v>DAVIDOFF</v>
      </c>
      <c r="C165" t="str">
        <f>LOWER(Table2[[#This Row],[Brand]])</f>
        <v>davidoff</v>
      </c>
      <c r="D165" t="str">
        <f>PROPER(Table2[[#This Row],[Brand]])</f>
        <v>Davidoff</v>
      </c>
      <c r="E165" t="s">
        <v>15</v>
      </c>
      <c r="F165">
        <v>38.24</v>
      </c>
      <c r="G165" t="s">
        <v>620</v>
      </c>
      <c r="H16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$38.24</v>
      </c>
      <c r="I165" t="str">
        <f>LEFT(Table2[[#This Row],[priceWithCurrency]],3)</f>
        <v xml:space="preserve">US </v>
      </c>
      <c r="K165" t="str">
        <f>IF(Table2[[#This Row],[Available]]&lt;=50, "Less Stock", "Required stock" )</f>
        <v>Less Stock</v>
      </c>
      <c r="L165">
        <f t="shared" si="2"/>
        <v>2710.1199999999994</v>
      </c>
      <c r="M165" t="s">
        <v>621</v>
      </c>
      <c r="N165">
        <v>13549</v>
      </c>
      <c r="O165" t="s">
        <v>622</v>
      </c>
      <c r="P165" t="str">
        <f>RIGHT(RIGHT(Table2[[#This Row],[last Updated]],12),4)</f>
        <v xml:space="preserve"> PDT</v>
      </c>
      <c r="Q165" t="s">
        <v>108</v>
      </c>
    </row>
    <row r="166" spans="1:17" x14ac:dyDescent="0.25">
      <c r="A166" t="s">
        <v>623</v>
      </c>
      <c r="B166" t="str">
        <f>UPPER(Table2[[#This Row],[Brand]])</f>
        <v>J. DEL POZO</v>
      </c>
      <c r="C166" t="str">
        <f>LOWER(Table2[[#This Row],[Brand]])</f>
        <v>j. del pozo</v>
      </c>
      <c r="D166" t="str">
        <f>PROPER(Table2[[#This Row],[Brand]])</f>
        <v>J. Del Pozo</v>
      </c>
      <c r="E166" t="s">
        <v>15</v>
      </c>
      <c r="F166">
        <v>30.99</v>
      </c>
      <c r="G166" t="s">
        <v>624</v>
      </c>
      <c r="H16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$30.99</v>
      </c>
      <c r="I166" t="str">
        <f>LEFT(Table2[[#This Row],[priceWithCurrency]],3)</f>
        <v xml:space="preserve">US </v>
      </c>
      <c r="J166">
        <v>10</v>
      </c>
      <c r="K166" t="str">
        <f>IF(Table2[[#This Row],[Available]]&lt;=50, "Less Stock", "Required stock" )</f>
        <v>Less Stock</v>
      </c>
      <c r="L166">
        <f t="shared" si="2"/>
        <v>2680.1299999999987</v>
      </c>
      <c r="M166" t="s">
        <v>625</v>
      </c>
      <c r="N166">
        <v>866</v>
      </c>
      <c r="O166" t="s">
        <v>626</v>
      </c>
      <c r="P166" t="str">
        <f>RIGHT(RIGHT(Table2[[#This Row],[last Updated]],12),4)</f>
        <v xml:space="preserve"> PDT</v>
      </c>
      <c r="Q166" t="s">
        <v>30</v>
      </c>
    </row>
    <row r="167" spans="1:17" x14ac:dyDescent="0.25">
      <c r="A167" t="s">
        <v>627</v>
      </c>
      <c r="B167" t="str">
        <f>UPPER(Table2[[#This Row],[Brand]])</f>
        <v>SEAN JOHN</v>
      </c>
      <c r="C167" t="str">
        <f>LOWER(Table2[[#This Row],[Brand]])</f>
        <v>sean john</v>
      </c>
      <c r="D167" t="str">
        <f>PROPER(Table2[[#This Row],[Brand]])</f>
        <v>Sean John</v>
      </c>
      <c r="E167" t="s">
        <v>15</v>
      </c>
      <c r="F167">
        <v>29.99</v>
      </c>
      <c r="G167" t="s">
        <v>91</v>
      </c>
      <c r="H16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$29.99</v>
      </c>
      <c r="I167" t="str">
        <f>LEFT(Table2[[#This Row],[priceWithCurrency]],3)</f>
        <v xml:space="preserve">US </v>
      </c>
      <c r="J167">
        <v>10</v>
      </c>
      <c r="K167" t="str">
        <f>IF(Table2[[#This Row],[Available]]&lt;=50, "Less Stock", "Required stock" )</f>
        <v>Less Stock</v>
      </c>
      <c r="L167">
        <f t="shared" si="2"/>
        <v>696.06000000000006</v>
      </c>
      <c r="M167" t="s">
        <v>628</v>
      </c>
      <c r="N167">
        <v>471</v>
      </c>
      <c r="O167" t="s">
        <v>629</v>
      </c>
      <c r="P167" t="str">
        <f>RIGHT(RIGHT(Table2[[#This Row],[last Updated]],12),4)</f>
        <v xml:space="preserve"> PDT</v>
      </c>
      <c r="Q167" t="s">
        <v>89</v>
      </c>
    </row>
    <row r="168" spans="1:17" x14ac:dyDescent="0.25">
      <c r="A168" t="s">
        <v>630</v>
      </c>
      <c r="B168" t="str">
        <f>UPPER(Table2[[#This Row],[Brand]])</f>
        <v>AS PICTURE SHOWN</v>
      </c>
      <c r="C168" t="str">
        <f>LOWER(Table2[[#This Row],[Brand]])</f>
        <v>as picture shown</v>
      </c>
      <c r="D168" t="str">
        <f>PROPER(Table2[[#This Row],[Brand]])</f>
        <v>As Picture Shown</v>
      </c>
      <c r="E168" t="s">
        <v>4</v>
      </c>
      <c r="F168">
        <v>125.99</v>
      </c>
      <c r="G168" t="s">
        <v>631</v>
      </c>
      <c r="H16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$125.99</v>
      </c>
      <c r="I168" t="str">
        <f>LEFT(Table2[[#This Row],[priceWithCurrency]],3)</f>
        <v xml:space="preserve">US </v>
      </c>
      <c r="K168" t="str">
        <f>IF(Table2[[#This Row],[Available]]&lt;=50, "Less Stock", "Required stock" )</f>
        <v>Less Stock</v>
      </c>
      <c r="L168">
        <f t="shared" si="2"/>
        <v>54.99</v>
      </c>
      <c r="M168" t="s">
        <v>632</v>
      </c>
      <c r="N168">
        <v>15</v>
      </c>
      <c r="O168" t="s">
        <v>633</v>
      </c>
      <c r="P168" t="str">
        <f>RIGHT(RIGHT(Table2[[#This Row],[last Updated]],12),4)</f>
        <v xml:space="preserve"> PDT</v>
      </c>
      <c r="Q168" t="s">
        <v>447</v>
      </c>
    </row>
    <row r="169" spans="1:17" x14ac:dyDescent="0.25">
      <c r="A169" t="s">
        <v>634</v>
      </c>
      <c r="B169" t="str">
        <f>UPPER(Table2[[#This Row],[Brand]])</f>
        <v>YSL</v>
      </c>
      <c r="C169" t="str">
        <f>LOWER(Table2[[#This Row],[Brand]])</f>
        <v>ysl</v>
      </c>
      <c r="D169" t="str">
        <f>PROPER(Table2[[#This Row],[Brand]])</f>
        <v>Ysl</v>
      </c>
      <c r="E169" t="s">
        <v>4</v>
      </c>
      <c r="F169">
        <v>39.99</v>
      </c>
      <c r="G169" t="s">
        <v>96</v>
      </c>
      <c r="H16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$39.99</v>
      </c>
      <c r="I169" t="str">
        <f>LEFT(Table2[[#This Row],[priceWithCurrency]],3)</f>
        <v xml:space="preserve">US </v>
      </c>
      <c r="J169">
        <v>3</v>
      </c>
      <c r="K169" t="str">
        <f>IF(Table2[[#This Row],[Available]]&lt;=50, "Less Stock", "Required stock" )</f>
        <v>Less Stock</v>
      </c>
      <c r="L169">
        <f t="shared" si="2"/>
        <v>646.07000000000005</v>
      </c>
      <c r="M169" t="s">
        <v>635</v>
      </c>
      <c r="N169">
        <v>9</v>
      </c>
      <c r="O169" t="s">
        <v>636</v>
      </c>
      <c r="P169" t="str">
        <f>RIGHT(RIGHT(Table2[[#This Row],[last Updated]],12),4)</f>
        <v xml:space="preserve"> PDT</v>
      </c>
      <c r="Q169" t="s">
        <v>637</v>
      </c>
    </row>
    <row r="170" spans="1:17" x14ac:dyDescent="0.25">
      <c r="A170" t="s">
        <v>104</v>
      </c>
      <c r="B170" t="str">
        <f>UPPER(Table2[[#This Row],[Brand]])</f>
        <v>DOLCE &amp; GABBANA</v>
      </c>
      <c r="C170" t="str">
        <f>LOWER(Table2[[#This Row],[Brand]])</f>
        <v>dolce &amp; gabbana</v>
      </c>
      <c r="D170" t="str">
        <f>PROPER(Table2[[#This Row],[Brand]])</f>
        <v>Dolce &amp; Gabbana</v>
      </c>
      <c r="E170" t="s">
        <v>15</v>
      </c>
      <c r="F170">
        <v>36.36</v>
      </c>
      <c r="G170" t="s">
        <v>638</v>
      </c>
      <c r="H17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$36.36</v>
      </c>
      <c r="I170" t="str">
        <f>LEFT(Table2[[#This Row],[priceWithCurrency]],3)</f>
        <v xml:space="preserve">US </v>
      </c>
      <c r="J170">
        <v>226</v>
      </c>
      <c r="K170" t="str">
        <f>IF(Table2[[#This Row],[Available]]&lt;=50, "Less Stock", "Required stock" )</f>
        <v>Required stock</v>
      </c>
      <c r="L170">
        <f t="shared" si="2"/>
        <v>2670.2399999999989</v>
      </c>
      <c r="M170" t="s">
        <v>639</v>
      </c>
      <c r="N170">
        <v>771</v>
      </c>
      <c r="O170" t="s">
        <v>640</v>
      </c>
      <c r="P170" t="str">
        <f>RIGHT(RIGHT(Table2[[#This Row],[last Updated]],12),4)</f>
        <v xml:space="preserve"> PDT</v>
      </c>
      <c r="Q170" t="s">
        <v>121</v>
      </c>
    </row>
    <row r="171" spans="1:17" x14ac:dyDescent="0.25">
      <c r="A171" t="s">
        <v>373</v>
      </c>
      <c r="B171" t="str">
        <f>UPPER(Table2[[#This Row],[Brand]])</f>
        <v>ABERCROMBIE &amp; FITCH</v>
      </c>
      <c r="C171" t="str">
        <f>LOWER(Table2[[#This Row],[Brand]])</f>
        <v>abercrombie &amp; fitch</v>
      </c>
      <c r="D171" t="str">
        <f>PROPER(Table2[[#This Row],[Brand]])</f>
        <v>Abercrombie &amp; Fitch</v>
      </c>
      <c r="E171" t="s">
        <v>374</v>
      </c>
      <c r="F171">
        <v>49.99</v>
      </c>
      <c r="G171" t="s">
        <v>52</v>
      </c>
      <c r="H17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$49.99</v>
      </c>
      <c r="I171" t="str">
        <f>LEFT(Table2[[#This Row],[priceWithCurrency]],3)</f>
        <v xml:space="preserve">US </v>
      </c>
      <c r="J171">
        <v>7</v>
      </c>
      <c r="K171" t="str">
        <f>IF(Table2[[#This Row],[Available]]&lt;=50, "Less Stock", "Required stock" )</f>
        <v>Less Stock</v>
      </c>
      <c r="L171">
        <f t="shared" si="2"/>
        <v>284.36</v>
      </c>
      <c r="M171" t="s">
        <v>641</v>
      </c>
      <c r="N171">
        <v>916</v>
      </c>
      <c r="O171" t="s">
        <v>642</v>
      </c>
      <c r="P171" t="str">
        <f>RIGHT(RIGHT(Table2[[#This Row],[last Updated]],12),4)</f>
        <v xml:space="preserve"> PDT</v>
      </c>
      <c r="Q171" t="s">
        <v>607</v>
      </c>
    </row>
    <row r="172" spans="1:17" x14ac:dyDescent="0.25">
      <c r="A172" t="s">
        <v>227</v>
      </c>
      <c r="B172" t="str">
        <f>UPPER(Table2[[#This Row],[Brand]])</f>
        <v>NAUTICA</v>
      </c>
      <c r="C172" t="str">
        <f>LOWER(Table2[[#This Row],[Brand]])</f>
        <v>nautica</v>
      </c>
      <c r="D172" t="str">
        <f>PROPER(Table2[[#This Row],[Brand]])</f>
        <v>Nautica</v>
      </c>
      <c r="E172" t="s">
        <v>15</v>
      </c>
      <c r="F172">
        <v>33.450000000000003</v>
      </c>
      <c r="G172" t="s">
        <v>643</v>
      </c>
      <c r="H17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$33.45</v>
      </c>
      <c r="I172" t="str">
        <f>LEFT(Table2[[#This Row],[priceWithCurrency]],3)</f>
        <v xml:space="preserve">US </v>
      </c>
      <c r="J172">
        <v>127</v>
      </c>
      <c r="K172" t="str">
        <f>IF(Table2[[#This Row],[Available]]&lt;=50, "Less Stock", "Required stock" )</f>
        <v>Required stock</v>
      </c>
      <c r="L172">
        <f t="shared" si="2"/>
        <v>2616.73</v>
      </c>
      <c r="M172" t="s">
        <v>644</v>
      </c>
      <c r="N172">
        <v>1391</v>
      </c>
      <c r="O172" t="s">
        <v>645</v>
      </c>
      <c r="P172" t="str">
        <f>RIGHT(RIGHT(Table2[[#This Row],[last Updated]],12),4)</f>
        <v xml:space="preserve"> PDT</v>
      </c>
      <c r="Q172" t="s">
        <v>121</v>
      </c>
    </row>
    <row r="173" spans="1:17" x14ac:dyDescent="0.25">
      <c r="A173" t="s">
        <v>373</v>
      </c>
      <c r="B173" t="str">
        <f>UPPER(Table2[[#This Row],[Brand]])</f>
        <v>ABERCROMBIE &amp; FITCH</v>
      </c>
      <c r="C173" t="str">
        <f>LOWER(Table2[[#This Row],[Brand]])</f>
        <v>abercrombie &amp; fitch</v>
      </c>
      <c r="D173" t="str">
        <f>PROPER(Table2[[#This Row],[Brand]])</f>
        <v>Abercrombie &amp; Fitch</v>
      </c>
      <c r="E173" t="s">
        <v>646</v>
      </c>
      <c r="F173">
        <v>44</v>
      </c>
      <c r="G173" t="s">
        <v>647</v>
      </c>
      <c r="H17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$44.00</v>
      </c>
      <c r="I173" t="str">
        <f>LEFT(Table2[[#This Row],[priceWithCurrency]],3)</f>
        <v xml:space="preserve">US </v>
      </c>
      <c r="J173">
        <v>2</v>
      </c>
      <c r="K173" t="str">
        <f>IF(Table2[[#This Row],[Available]]&lt;=50, "Less Stock", "Required stock" )</f>
        <v>Less Stock</v>
      </c>
      <c r="L173">
        <f t="shared" si="2"/>
        <v>607.20000000000005</v>
      </c>
      <c r="M173" t="s">
        <v>648</v>
      </c>
      <c r="N173">
        <v>24</v>
      </c>
      <c r="O173" t="s">
        <v>649</v>
      </c>
      <c r="P173" t="str">
        <f>RIGHT(RIGHT(Table2[[#This Row],[last Updated]],12),4)</f>
        <v xml:space="preserve"> PDT</v>
      </c>
      <c r="Q173" t="s">
        <v>65</v>
      </c>
    </row>
    <row r="174" spans="1:17" x14ac:dyDescent="0.25">
      <c r="A174" t="s">
        <v>650</v>
      </c>
      <c r="B174" t="str">
        <f>UPPER(Table2[[#This Row],[Brand]])</f>
        <v>JAGUAR</v>
      </c>
      <c r="C174" t="str">
        <f>LOWER(Table2[[#This Row],[Brand]])</f>
        <v>jaguar</v>
      </c>
      <c r="D174" t="str">
        <f>PROPER(Table2[[#This Row],[Brand]])</f>
        <v>Jaguar</v>
      </c>
      <c r="E174" t="s">
        <v>15</v>
      </c>
      <c r="F174">
        <v>15.4</v>
      </c>
      <c r="G174" t="s">
        <v>651</v>
      </c>
      <c r="H17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$15.40</v>
      </c>
      <c r="I174" t="str">
        <f>LEFT(Table2[[#This Row],[priceWithCurrency]],3)</f>
        <v xml:space="preserve">US </v>
      </c>
      <c r="J174">
        <v>224</v>
      </c>
      <c r="K174" t="str">
        <f>IF(Table2[[#This Row],[Available]]&lt;=50, "Less Stock", "Required stock" )</f>
        <v>Required stock</v>
      </c>
      <c r="L174">
        <f t="shared" si="2"/>
        <v>2707.2699999999991</v>
      </c>
      <c r="M174" t="s">
        <v>652</v>
      </c>
      <c r="N174">
        <v>3942</v>
      </c>
      <c r="O174" t="s">
        <v>653</v>
      </c>
      <c r="P174" t="str">
        <f>RIGHT(RIGHT(Table2[[#This Row],[last Updated]],12),4)</f>
        <v xml:space="preserve"> PDT</v>
      </c>
      <c r="Q174" t="s">
        <v>121</v>
      </c>
    </row>
    <row r="175" spans="1:17" x14ac:dyDescent="0.25">
      <c r="A175" t="s">
        <v>654</v>
      </c>
      <c r="B175" t="str">
        <f>UPPER(Table2[[#This Row],[Brand]])</f>
        <v>EBC</v>
      </c>
      <c r="C175" t="str">
        <f>LOWER(Table2[[#This Row],[Brand]])</f>
        <v>ebc</v>
      </c>
      <c r="D175" t="str">
        <f>PROPER(Table2[[#This Row],[Brand]])</f>
        <v>Ebc</v>
      </c>
      <c r="E175" t="s">
        <v>374</v>
      </c>
      <c r="F175">
        <v>13.5</v>
      </c>
      <c r="G175" t="s">
        <v>655</v>
      </c>
      <c r="H17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$13.50</v>
      </c>
      <c r="I175" t="str">
        <f>LEFT(Table2[[#This Row],[priceWithCurrency]],3)</f>
        <v xml:space="preserve">US </v>
      </c>
      <c r="J175">
        <v>10</v>
      </c>
      <c r="K175" t="str">
        <f>IF(Table2[[#This Row],[Available]]&lt;=50, "Less Stock", "Required stock" )</f>
        <v>Less Stock</v>
      </c>
      <c r="L175">
        <f t="shared" si="2"/>
        <v>2677.2799999999993</v>
      </c>
      <c r="M175" t="s">
        <v>48</v>
      </c>
      <c r="N175">
        <v>17</v>
      </c>
      <c r="O175" t="s">
        <v>656</v>
      </c>
      <c r="P175" t="str">
        <f>RIGHT(RIGHT(Table2[[#This Row],[last Updated]],12),4)</f>
        <v xml:space="preserve"> PDT</v>
      </c>
      <c r="Q175" t="s">
        <v>657</v>
      </c>
    </row>
    <row r="176" spans="1:17" x14ac:dyDescent="0.25">
      <c r="A176" t="s">
        <v>126</v>
      </c>
      <c r="B176" t="str">
        <f>UPPER(Table2[[#This Row],[Brand]])</f>
        <v>AZZARO</v>
      </c>
      <c r="C176" t="str">
        <f>LOWER(Table2[[#This Row],[Brand]])</f>
        <v>azzaro</v>
      </c>
      <c r="D176" t="str">
        <f>PROPER(Table2[[#This Row],[Brand]])</f>
        <v>Azzaro</v>
      </c>
      <c r="E176" t="s">
        <v>15</v>
      </c>
      <c r="F176">
        <v>27.94</v>
      </c>
      <c r="G176" t="s">
        <v>220</v>
      </c>
      <c r="H17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$27.94</v>
      </c>
      <c r="I176" t="str">
        <f>LEFT(Table2[[#This Row],[priceWithCurrency]],3)</f>
        <v xml:space="preserve">US </v>
      </c>
      <c r="K176" t="str">
        <f>IF(Table2[[#This Row],[Available]]&lt;=50, "Less Stock", "Required stock" )</f>
        <v>Less Stock</v>
      </c>
      <c r="L176">
        <f t="shared" si="2"/>
        <v>701.6400000000001</v>
      </c>
      <c r="M176" t="s">
        <v>658</v>
      </c>
      <c r="N176">
        <v>1140</v>
      </c>
      <c r="O176" t="s">
        <v>659</v>
      </c>
      <c r="P176" t="str">
        <f>RIGHT(RIGHT(Table2[[#This Row],[last Updated]],12),4)</f>
        <v xml:space="preserve"> PDT</v>
      </c>
      <c r="Q176" t="s">
        <v>108</v>
      </c>
    </row>
    <row r="177" spans="1:17" x14ac:dyDescent="0.25">
      <c r="A177" t="s">
        <v>166</v>
      </c>
      <c r="B177" t="str">
        <f>UPPER(Table2[[#This Row],[Brand]])</f>
        <v>MONTBLANC</v>
      </c>
      <c r="C177" t="str">
        <f>LOWER(Table2[[#This Row],[Brand]])</f>
        <v>montblanc</v>
      </c>
      <c r="D177" t="str">
        <f>PROPER(Table2[[#This Row],[Brand]])</f>
        <v>Montblanc</v>
      </c>
      <c r="E177" t="s">
        <v>15</v>
      </c>
      <c r="F177">
        <v>52.62</v>
      </c>
      <c r="G177" t="s">
        <v>660</v>
      </c>
      <c r="H17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$52.62</v>
      </c>
      <c r="I177" t="str">
        <f>LEFT(Table2[[#This Row],[priceWithCurrency]],3)</f>
        <v xml:space="preserve">US </v>
      </c>
      <c r="K177" t="str">
        <f>IF(Table2[[#This Row],[Available]]&lt;=50, "Less Stock", "Required stock" )</f>
        <v>Less Stock</v>
      </c>
      <c r="L177">
        <f t="shared" si="2"/>
        <v>701.6400000000001</v>
      </c>
      <c r="M177" t="s">
        <v>661</v>
      </c>
      <c r="N177">
        <v>5098</v>
      </c>
      <c r="O177" t="s">
        <v>662</v>
      </c>
      <c r="P177" t="str">
        <f>RIGHT(RIGHT(Table2[[#This Row],[last Updated]],12),4)</f>
        <v xml:space="preserve"> PDT</v>
      </c>
      <c r="Q177" t="s">
        <v>108</v>
      </c>
    </row>
    <row r="178" spans="1:17" x14ac:dyDescent="0.25">
      <c r="A178" t="s">
        <v>104</v>
      </c>
      <c r="B178" t="str">
        <f>UPPER(Table2[[#This Row],[Brand]])</f>
        <v>DOLCE &amp; GABBANA</v>
      </c>
      <c r="C178" t="str">
        <f>LOWER(Table2[[#This Row],[Brand]])</f>
        <v>dolce &amp; gabbana</v>
      </c>
      <c r="D178" t="str">
        <f>PROPER(Table2[[#This Row],[Brand]])</f>
        <v>Dolce &amp; Gabbana</v>
      </c>
      <c r="E178" t="s">
        <v>493</v>
      </c>
      <c r="F178">
        <v>50.08</v>
      </c>
      <c r="G178" t="s">
        <v>663</v>
      </c>
      <c r="H17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$50.08</v>
      </c>
      <c r="I178" t="str">
        <f>LEFT(Table2[[#This Row],[priceWithCurrency]],3)</f>
        <v xml:space="preserve">US </v>
      </c>
      <c r="J178">
        <v>10</v>
      </c>
      <c r="K178" t="str">
        <f>IF(Table2[[#This Row],[Available]]&lt;=50, "Less Stock", "Required stock" )</f>
        <v>Less Stock</v>
      </c>
      <c r="L178">
        <f t="shared" si="2"/>
        <v>172.49</v>
      </c>
      <c r="M178" t="s">
        <v>664</v>
      </c>
      <c r="N178">
        <v>182</v>
      </c>
      <c r="O178" t="s">
        <v>665</v>
      </c>
      <c r="P178" t="str">
        <f>RIGHT(RIGHT(Table2[[#This Row],[last Updated]],12),4)</f>
        <v xml:space="preserve"> PDT</v>
      </c>
      <c r="Q178" t="s">
        <v>226</v>
      </c>
    </row>
    <row r="179" spans="1:17" x14ac:dyDescent="0.25">
      <c r="A179" t="s">
        <v>666</v>
      </c>
      <c r="B179" t="str">
        <f>UPPER(Table2[[#This Row],[Brand]])</f>
        <v>BATH &amp; BODY WORKS</v>
      </c>
      <c r="C179" t="str">
        <f>LOWER(Table2[[#This Row],[Brand]])</f>
        <v>bath &amp; body works</v>
      </c>
      <c r="D179" t="str">
        <f>PROPER(Table2[[#This Row],[Brand]])</f>
        <v>Bath &amp; Body Works</v>
      </c>
      <c r="E179" t="s">
        <v>374</v>
      </c>
      <c r="F179">
        <v>28.95</v>
      </c>
      <c r="G179" t="s">
        <v>667</v>
      </c>
      <c r="H17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$28.95</v>
      </c>
      <c r="I179" t="str">
        <f>LEFT(Table2[[#This Row],[priceWithCurrency]],3)</f>
        <v xml:space="preserve">US </v>
      </c>
      <c r="K179" t="str">
        <f>IF(Table2[[#This Row],[Available]]&lt;=50, "Less Stock", "Required stock" )</f>
        <v>Less Stock</v>
      </c>
      <c r="L179">
        <f t="shared" si="2"/>
        <v>2294.4599999999996</v>
      </c>
      <c r="M179" t="s">
        <v>668</v>
      </c>
      <c r="N179">
        <v>5</v>
      </c>
      <c r="P179" t="str">
        <f>RIGHT(RIGHT(Table2[[#This Row],[last Updated]],12),4)</f>
        <v/>
      </c>
      <c r="Q179" t="s">
        <v>669</v>
      </c>
    </row>
    <row r="180" spans="1:17" x14ac:dyDescent="0.25">
      <c r="A180" t="s">
        <v>543</v>
      </c>
      <c r="B180" t="str">
        <f>UPPER(Table2[[#This Row],[Brand]])</f>
        <v>JEAN PAUL GAULTIER</v>
      </c>
      <c r="C180" t="str">
        <f>LOWER(Table2[[#This Row],[Brand]])</f>
        <v>jean paul gaultier</v>
      </c>
      <c r="D180" t="str">
        <f>PROPER(Table2[[#This Row],[Brand]])</f>
        <v>Jean Paul Gaultier</v>
      </c>
      <c r="E180" t="s">
        <v>15</v>
      </c>
      <c r="F180">
        <v>12.2</v>
      </c>
      <c r="G180" t="s">
        <v>670</v>
      </c>
      <c r="H18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$12.20</v>
      </c>
      <c r="I180" t="str">
        <f>LEFT(Table2[[#This Row],[priceWithCurrency]],3)</f>
        <v xml:space="preserve">US </v>
      </c>
      <c r="J180">
        <v>10</v>
      </c>
      <c r="K180" t="str">
        <f>IF(Table2[[#This Row],[Available]]&lt;=50, "Less Stock", "Required stock" )</f>
        <v>Less Stock</v>
      </c>
      <c r="L180">
        <f t="shared" si="2"/>
        <v>2294.4599999999996</v>
      </c>
      <c r="M180" t="s">
        <v>576</v>
      </c>
      <c r="N180">
        <v>5</v>
      </c>
      <c r="O180" t="s">
        <v>671</v>
      </c>
      <c r="P180" t="str">
        <f>RIGHT(RIGHT(Table2[[#This Row],[last Updated]],12),4)</f>
        <v xml:space="preserve"> PDT</v>
      </c>
      <c r="Q180" t="s">
        <v>89</v>
      </c>
    </row>
    <row r="181" spans="1:17" x14ac:dyDescent="0.25">
      <c r="A181" t="s">
        <v>79</v>
      </c>
      <c r="B181" t="str">
        <f>UPPER(Table2[[#This Row],[Brand]])</f>
        <v>PACO RABANNE</v>
      </c>
      <c r="C181" t="str">
        <f>LOWER(Table2[[#This Row],[Brand]])</f>
        <v>paco rabanne</v>
      </c>
      <c r="D181" t="str">
        <f>PROPER(Table2[[#This Row],[Brand]])</f>
        <v>Paco Rabanne</v>
      </c>
      <c r="E181" t="s">
        <v>15</v>
      </c>
      <c r="F181">
        <v>28.93</v>
      </c>
      <c r="G181" t="s">
        <v>672</v>
      </c>
      <c r="H18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$28.93</v>
      </c>
      <c r="I181" t="str">
        <f>LEFT(Table2[[#This Row],[priceWithCurrency]],3)</f>
        <v xml:space="preserve">US </v>
      </c>
      <c r="J181">
        <v>44</v>
      </c>
      <c r="K181" t="str">
        <f>IF(Table2[[#This Row],[Available]]&lt;=50, "Less Stock", "Required stock" )</f>
        <v>Less Stock</v>
      </c>
      <c r="L181">
        <f t="shared" si="2"/>
        <v>778.62000000000012</v>
      </c>
      <c r="M181" t="s">
        <v>673</v>
      </c>
      <c r="N181">
        <v>4764</v>
      </c>
      <c r="O181" t="s">
        <v>674</v>
      </c>
      <c r="P181" t="str">
        <f>RIGHT(RIGHT(Table2[[#This Row],[last Updated]],12),4)</f>
        <v xml:space="preserve"> PDT</v>
      </c>
      <c r="Q181" t="s">
        <v>121</v>
      </c>
    </row>
    <row r="182" spans="1:17" x14ac:dyDescent="0.25">
      <c r="A182" t="s">
        <v>675</v>
      </c>
      <c r="B182" t="str">
        <f>UPPER(Table2[[#This Row],[Brand]])</f>
        <v>ISSEY MIYAKE</v>
      </c>
      <c r="C182" t="str">
        <f>LOWER(Table2[[#This Row],[Brand]])</f>
        <v>issey miyake</v>
      </c>
      <c r="D182" t="str">
        <f>PROPER(Table2[[#This Row],[Brand]])</f>
        <v>Issey Miyake</v>
      </c>
      <c r="E182" t="s">
        <v>15</v>
      </c>
      <c r="F182">
        <v>54.92</v>
      </c>
      <c r="G182" t="s">
        <v>676</v>
      </c>
      <c r="H18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$54.92</v>
      </c>
      <c r="I182" t="str">
        <f>LEFT(Table2[[#This Row],[priceWithCurrency]],3)</f>
        <v xml:space="preserve">US </v>
      </c>
      <c r="J182">
        <v>124</v>
      </c>
      <c r="K182" t="str">
        <f>IF(Table2[[#This Row],[Available]]&lt;=50, "Less Stock", "Required stock" )</f>
        <v>Required stock</v>
      </c>
      <c r="L182">
        <f t="shared" si="2"/>
        <v>2227.1699999999992</v>
      </c>
      <c r="M182" t="s">
        <v>677</v>
      </c>
      <c r="N182">
        <v>2465</v>
      </c>
      <c r="O182" t="s">
        <v>678</v>
      </c>
      <c r="P182" t="str">
        <f>RIGHT(RIGHT(Table2[[#This Row],[last Updated]],12),4)</f>
        <v xml:space="preserve"> PDT</v>
      </c>
      <c r="Q182" t="s">
        <v>121</v>
      </c>
    </row>
    <row r="183" spans="1:17" x14ac:dyDescent="0.25">
      <c r="A183" t="s">
        <v>208</v>
      </c>
      <c r="B183" t="str">
        <f>UPPER(Table2[[#This Row],[Brand]])</f>
        <v>POLO RALPH LAUREN</v>
      </c>
      <c r="C183" t="str">
        <f>LOWER(Table2[[#This Row],[Brand]])</f>
        <v>polo ralph lauren</v>
      </c>
      <c r="D183" t="str">
        <f>PROPER(Table2[[#This Row],[Brand]])</f>
        <v>Polo Ralph Lauren</v>
      </c>
      <c r="E183" t="s">
        <v>15</v>
      </c>
      <c r="F183">
        <v>34.99</v>
      </c>
      <c r="G183" t="s">
        <v>57</v>
      </c>
      <c r="H18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$34.99</v>
      </c>
      <c r="I183" t="str">
        <f>LEFT(Table2[[#This Row],[priceWithCurrency]],3)</f>
        <v xml:space="preserve">US </v>
      </c>
      <c r="J183">
        <v>7</v>
      </c>
      <c r="K183" t="str">
        <f>IF(Table2[[#This Row],[Available]]&lt;=50, "Less Stock", "Required stock" )</f>
        <v>Less Stock</v>
      </c>
      <c r="L183">
        <f t="shared" si="2"/>
        <v>778.62000000000012</v>
      </c>
      <c r="M183" t="s">
        <v>679</v>
      </c>
      <c r="N183">
        <v>17</v>
      </c>
      <c r="O183" t="s">
        <v>680</v>
      </c>
      <c r="P183" t="str">
        <f>RIGHT(RIGHT(Table2[[#This Row],[last Updated]],12),4)</f>
        <v xml:space="preserve"> PDT</v>
      </c>
      <c r="Q183" t="s">
        <v>430</v>
      </c>
    </row>
    <row r="184" spans="1:17" x14ac:dyDescent="0.25">
      <c r="A184" t="s">
        <v>180</v>
      </c>
      <c r="B184" t="str">
        <f>UPPER(Table2[[#This Row],[Brand]])</f>
        <v>CALVIN KLEIN</v>
      </c>
      <c r="C184" t="str">
        <f>LOWER(Table2[[#This Row],[Brand]])</f>
        <v>calvin klein</v>
      </c>
      <c r="D184" t="str">
        <f>PROPER(Table2[[#This Row],[Brand]])</f>
        <v>Calvin Klein</v>
      </c>
      <c r="E184" t="s">
        <v>15</v>
      </c>
      <c r="F184">
        <v>25.98</v>
      </c>
      <c r="G184" t="s">
        <v>681</v>
      </c>
      <c r="H18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$25.98</v>
      </c>
      <c r="I184" t="str">
        <f>LEFT(Table2[[#This Row],[priceWithCurrency]],3)</f>
        <v xml:space="preserve">US </v>
      </c>
      <c r="J184">
        <v>10</v>
      </c>
      <c r="K184" t="str">
        <f>IF(Table2[[#This Row],[Available]]&lt;=50, "Less Stock", "Required stock" )</f>
        <v>Less Stock</v>
      </c>
      <c r="L184">
        <f t="shared" si="2"/>
        <v>107.97999999999999</v>
      </c>
      <c r="M184" t="s">
        <v>682</v>
      </c>
      <c r="N184">
        <v>1536</v>
      </c>
      <c r="O184" t="s">
        <v>662</v>
      </c>
      <c r="P184" t="str">
        <f>RIGHT(RIGHT(Table2[[#This Row],[last Updated]],12),4)</f>
        <v xml:space="preserve"> PDT</v>
      </c>
      <c r="Q184" t="s">
        <v>108</v>
      </c>
    </row>
    <row r="185" spans="1:17" x14ac:dyDescent="0.25">
      <c r="A185" t="s">
        <v>683</v>
      </c>
      <c r="B185" t="str">
        <f>UPPER(Table2[[#This Row],[Brand]])</f>
        <v>KING</v>
      </c>
      <c r="C185" t="str">
        <f>LOWER(Table2[[#This Row],[Brand]])</f>
        <v>king</v>
      </c>
      <c r="D185" t="str">
        <f>PROPER(Table2[[#This Row],[Brand]])</f>
        <v>King</v>
      </c>
      <c r="E185" t="s">
        <v>684</v>
      </c>
      <c r="F185">
        <v>74.8</v>
      </c>
      <c r="G185" t="s">
        <v>685</v>
      </c>
      <c r="H18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$74.80</v>
      </c>
      <c r="I185" t="str">
        <f>LEFT(Table2[[#This Row],[priceWithCurrency]],3)</f>
        <v xml:space="preserve">US </v>
      </c>
      <c r="K185" t="str">
        <f>IF(Table2[[#This Row],[Available]]&lt;=50, "Less Stock", "Required stock" )</f>
        <v>Less Stock</v>
      </c>
      <c r="L185">
        <f t="shared" si="2"/>
        <v>2133.8199999999997</v>
      </c>
      <c r="M185" t="s">
        <v>686</v>
      </c>
      <c r="N185">
        <v>430</v>
      </c>
      <c r="O185" t="s">
        <v>687</v>
      </c>
      <c r="P185" t="str">
        <f>RIGHT(RIGHT(Table2[[#This Row],[last Updated]],12),4)</f>
        <v xml:space="preserve"> PDT</v>
      </c>
      <c r="Q185" t="s">
        <v>121</v>
      </c>
    </row>
    <row r="186" spans="1:17" x14ac:dyDescent="0.25">
      <c r="A186" t="s">
        <v>76</v>
      </c>
      <c r="B186" t="str">
        <f>UPPER(Table2[[#This Row],[Brand]])</f>
        <v>VERSACE</v>
      </c>
      <c r="C186" t="str">
        <f>LOWER(Table2[[#This Row],[Brand]])</f>
        <v>versace</v>
      </c>
      <c r="D186" t="str">
        <f>PROPER(Table2[[#This Row],[Brand]])</f>
        <v>Versace</v>
      </c>
      <c r="E186" t="s">
        <v>15</v>
      </c>
      <c r="F186">
        <v>39.770000000000003</v>
      </c>
      <c r="G186" t="s">
        <v>688</v>
      </c>
      <c r="H18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$39.77</v>
      </c>
      <c r="I186" t="str">
        <f>LEFT(Table2[[#This Row],[priceWithCurrency]],3)</f>
        <v xml:space="preserve">US </v>
      </c>
      <c r="K186" t="str">
        <f>IF(Table2[[#This Row],[Available]]&lt;=50, "Less Stock", "Required stock" )</f>
        <v>Less Stock</v>
      </c>
      <c r="L186">
        <f t="shared" si="2"/>
        <v>2164.7699999999995</v>
      </c>
      <c r="M186" t="s">
        <v>689</v>
      </c>
      <c r="N186">
        <v>31718</v>
      </c>
      <c r="O186" t="s">
        <v>622</v>
      </c>
      <c r="P186" t="str">
        <f>RIGHT(RIGHT(Table2[[#This Row],[last Updated]],12),4)</f>
        <v xml:space="preserve"> PDT</v>
      </c>
      <c r="Q186" t="s">
        <v>108</v>
      </c>
    </row>
    <row r="187" spans="1:17" x14ac:dyDescent="0.25">
      <c r="A187" t="s">
        <v>690</v>
      </c>
      <c r="B187" t="str">
        <f>UPPER(Table2[[#This Row],[Brand]])</f>
        <v>PRADA</v>
      </c>
      <c r="C187" t="str">
        <f>LOWER(Table2[[#This Row],[Brand]])</f>
        <v>prada</v>
      </c>
      <c r="D187" t="str">
        <f>PROPER(Table2[[#This Row],[Brand]])</f>
        <v>Prada</v>
      </c>
      <c r="E187" t="s">
        <v>15</v>
      </c>
      <c r="F187">
        <v>86.87</v>
      </c>
      <c r="G187" t="s">
        <v>691</v>
      </c>
      <c r="H18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$86.87</v>
      </c>
      <c r="I187" t="str">
        <f>LEFT(Table2[[#This Row],[priceWithCurrency]],3)</f>
        <v xml:space="preserve">US </v>
      </c>
      <c r="K187" t="str">
        <f>IF(Table2[[#This Row],[Available]]&lt;=50, "Less Stock", "Required stock" )</f>
        <v>Less Stock</v>
      </c>
      <c r="L187">
        <f t="shared" si="2"/>
        <v>778.62000000000012</v>
      </c>
      <c r="M187" t="s">
        <v>692</v>
      </c>
      <c r="N187">
        <v>322</v>
      </c>
      <c r="O187" t="s">
        <v>693</v>
      </c>
      <c r="P187" t="str">
        <f>RIGHT(RIGHT(Table2[[#This Row],[last Updated]],12),4)</f>
        <v xml:space="preserve"> PDT</v>
      </c>
      <c r="Q187" t="s">
        <v>108</v>
      </c>
    </row>
    <row r="188" spans="1:17" x14ac:dyDescent="0.25">
      <c r="A188" t="s">
        <v>335</v>
      </c>
      <c r="B188" t="str">
        <f>UPPER(Table2[[#This Row],[Brand]])</f>
        <v>COLOGNE</v>
      </c>
      <c r="C188" t="str">
        <f>LOWER(Table2[[#This Row],[Brand]])</f>
        <v>cologne</v>
      </c>
      <c r="D188" t="str">
        <f>PROPER(Table2[[#This Row],[Brand]])</f>
        <v>Cologne</v>
      </c>
      <c r="E188" t="s">
        <v>15</v>
      </c>
      <c r="F188">
        <v>10.99</v>
      </c>
      <c r="G188" t="s">
        <v>336</v>
      </c>
      <c r="H18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$10.99</v>
      </c>
      <c r="I188" t="str">
        <f>LEFT(Table2[[#This Row],[priceWithCurrency]],3)</f>
        <v xml:space="preserve">US </v>
      </c>
      <c r="J188">
        <v>10</v>
      </c>
      <c r="K188" t="str">
        <f>IF(Table2[[#This Row],[Available]]&lt;=50, "Less Stock", "Required stock" )</f>
        <v>Less Stock</v>
      </c>
      <c r="L188">
        <f t="shared" si="2"/>
        <v>2002.7700000000002</v>
      </c>
      <c r="M188" t="s">
        <v>694</v>
      </c>
      <c r="N188">
        <v>1044</v>
      </c>
      <c r="O188" t="s">
        <v>695</v>
      </c>
      <c r="P188" t="str">
        <f>RIGHT(RIGHT(Table2[[#This Row],[last Updated]],12),4)</f>
        <v xml:space="preserve"> PDT</v>
      </c>
      <c r="Q188" t="s">
        <v>131</v>
      </c>
    </row>
    <row r="189" spans="1:17" x14ac:dyDescent="0.25">
      <c r="A189" t="s">
        <v>20</v>
      </c>
      <c r="B189" t="str">
        <f>UPPER(Table2[[#This Row],[Brand]])</f>
        <v>GIORGIO ARMANI</v>
      </c>
      <c r="C189" t="str">
        <f>LOWER(Table2[[#This Row],[Brand]])</f>
        <v>giorgio armani</v>
      </c>
      <c r="D189" t="str">
        <f>PROPER(Table2[[#This Row],[Brand]])</f>
        <v>Giorgio Armani</v>
      </c>
      <c r="E189" t="s">
        <v>15</v>
      </c>
      <c r="F189">
        <v>29.99</v>
      </c>
      <c r="G189" t="s">
        <v>91</v>
      </c>
      <c r="H18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$29.99</v>
      </c>
      <c r="I189" t="str">
        <f>LEFT(Table2[[#This Row],[priceWithCurrency]],3)</f>
        <v xml:space="preserve">US </v>
      </c>
      <c r="J189">
        <v>9</v>
      </c>
      <c r="K189" t="str">
        <f>IF(Table2[[#This Row],[Available]]&lt;=50, "Less Stock", "Required stock" )</f>
        <v>Less Stock</v>
      </c>
      <c r="L189">
        <f t="shared" si="2"/>
        <v>69.989999999999995</v>
      </c>
      <c r="M189" t="s">
        <v>696</v>
      </c>
      <c r="N189">
        <v>204</v>
      </c>
      <c r="O189" t="s">
        <v>697</v>
      </c>
      <c r="P189" t="str">
        <f>RIGHT(RIGHT(Table2[[#This Row],[last Updated]],12),4)</f>
        <v xml:space="preserve"> PDT</v>
      </c>
      <c r="Q189" t="s">
        <v>698</v>
      </c>
    </row>
    <row r="190" spans="1:17" x14ac:dyDescent="0.25">
      <c r="A190" t="s">
        <v>76</v>
      </c>
      <c r="B190" t="str">
        <f>UPPER(Table2[[#This Row],[Brand]])</f>
        <v>VERSACE</v>
      </c>
      <c r="C190" t="str">
        <f>LOWER(Table2[[#This Row],[Brand]])</f>
        <v>versace</v>
      </c>
      <c r="D190" t="str">
        <f>PROPER(Table2[[#This Row],[Brand]])</f>
        <v>Versace</v>
      </c>
      <c r="E190" t="s">
        <v>15</v>
      </c>
      <c r="F190">
        <v>44.94</v>
      </c>
      <c r="G190" t="s">
        <v>699</v>
      </c>
      <c r="H19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$44.94</v>
      </c>
      <c r="I190" t="str">
        <f>LEFT(Table2[[#This Row],[priceWithCurrency]],3)</f>
        <v xml:space="preserve">US </v>
      </c>
      <c r="J190">
        <v>10</v>
      </c>
      <c r="K190" t="str">
        <f>IF(Table2[[#This Row],[Available]]&lt;=50, "Less Stock", "Required stock" )</f>
        <v>Less Stock</v>
      </c>
      <c r="L190">
        <f t="shared" si="2"/>
        <v>212.48000000000002</v>
      </c>
      <c r="M190" t="s">
        <v>700</v>
      </c>
      <c r="N190">
        <v>21310</v>
      </c>
      <c r="O190" t="s">
        <v>701</v>
      </c>
      <c r="P190" t="str">
        <f>RIGHT(RIGHT(Table2[[#This Row],[last Updated]],12),4)</f>
        <v xml:space="preserve"> PDT</v>
      </c>
      <c r="Q190" t="s">
        <v>108</v>
      </c>
    </row>
    <row r="191" spans="1:17" x14ac:dyDescent="0.25">
      <c r="A191" t="s">
        <v>159</v>
      </c>
      <c r="B191" t="str">
        <f>UPPER(Table2[[#This Row],[Brand]])</f>
        <v>VALENTINO</v>
      </c>
      <c r="C191" t="str">
        <f>LOWER(Table2[[#This Row],[Brand]])</f>
        <v>valentino</v>
      </c>
      <c r="D191" t="str">
        <f>PROPER(Table2[[#This Row],[Brand]])</f>
        <v>Valentino</v>
      </c>
      <c r="E191" t="s">
        <v>4</v>
      </c>
      <c r="F191">
        <v>18.989999999999998</v>
      </c>
      <c r="G191" t="s">
        <v>702</v>
      </c>
      <c r="H19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$18.99</v>
      </c>
      <c r="I191" t="str">
        <f>LEFT(Table2[[#This Row],[priceWithCurrency]],3)</f>
        <v xml:space="preserve">US </v>
      </c>
      <c r="J191">
        <v>10</v>
      </c>
      <c r="K191" t="str">
        <f>IF(Table2[[#This Row],[Available]]&lt;=50, "Less Stock", "Required stock" )</f>
        <v>Less Stock</v>
      </c>
      <c r="L191">
        <f t="shared" si="2"/>
        <v>798.61000000000013</v>
      </c>
      <c r="M191" t="s">
        <v>703</v>
      </c>
      <c r="N191">
        <v>8</v>
      </c>
      <c r="O191" t="s">
        <v>704</v>
      </c>
      <c r="P191" t="str">
        <f>RIGHT(RIGHT(Table2[[#This Row],[last Updated]],12),4)</f>
        <v xml:space="preserve"> PDT</v>
      </c>
      <c r="Q191" t="s">
        <v>89</v>
      </c>
    </row>
    <row r="192" spans="1:17" x14ac:dyDescent="0.25">
      <c r="A192" t="s">
        <v>705</v>
      </c>
      <c r="B192" t="str">
        <f>UPPER(Table2[[#This Row],[Brand]])</f>
        <v>HUGO BOSS</v>
      </c>
      <c r="C192" t="str">
        <f>LOWER(Table2[[#This Row],[Brand]])</f>
        <v>hugo boss</v>
      </c>
      <c r="D192" t="str">
        <f>PROPER(Table2[[#This Row],[Brand]])</f>
        <v>Hugo Boss</v>
      </c>
      <c r="E192" t="s">
        <v>15</v>
      </c>
      <c r="F192">
        <v>17.95</v>
      </c>
      <c r="G192" t="s">
        <v>706</v>
      </c>
      <c r="H19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$17.95</v>
      </c>
      <c r="I192" t="str">
        <f>LEFT(Table2[[#This Row],[priceWithCurrency]],3)</f>
        <v xml:space="preserve">US </v>
      </c>
      <c r="J192">
        <v>10</v>
      </c>
      <c r="K192" t="str">
        <f>IF(Table2[[#This Row],[Available]]&lt;=50, "Less Stock", "Required stock" )</f>
        <v>Less Stock</v>
      </c>
      <c r="L192">
        <f t="shared" si="2"/>
        <v>1844.4200000000003</v>
      </c>
      <c r="M192" t="s">
        <v>707</v>
      </c>
      <c r="N192">
        <v>75</v>
      </c>
      <c r="O192" t="s">
        <v>708</v>
      </c>
      <c r="P192" t="str">
        <f>RIGHT(RIGHT(Table2[[#This Row],[last Updated]],12),4)</f>
        <v xml:space="preserve"> PDT</v>
      </c>
      <c r="Q192" t="s">
        <v>709</v>
      </c>
    </row>
    <row r="193" spans="1:17" x14ac:dyDescent="0.25">
      <c r="A193" t="s">
        <v>20</v>
      </c>
      <c r="B193" t="str">
        <f>UPPER(Table2[[#This Row],[Brand]])</f>
        <v>GIORGIO ARMANI</v>
      </c>
      <c r="C193" t="str">
        <f>LOWER(Table2[[#This Row],[Brand]])</f>
        <v>giorgio armani</v>
      </c>
      <c r="D193" t="str">
        <f>PROPER(Table2[[#This Row],[Brand]])</f>
        <v>Giorgio Armani</v>
      </c>
      <c r="E193" t="s">
        <v>15</v>
      </c>
      <c r="F193">
        <v>29.95</v>
      </c>
      <c r="G193" t="s">
        <v>62</v>
      </c>
      <c r="H19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$29.95</v>
      </c>
      <c r="I193" t="str">
        <f>LEFT(Table2[[#This Row],[priceWithCurrency]],3)</f>
        <v xml:space="preserve">US </v>
      </c>
      <c r="J193">
        <v>6</v>
      </c>
      <c r="K193" t="str">
        <f>IF(Table2[[#This Row],[Available]]&lt;=50, "Less Stock", "Required stock" )</f>
        <v>Less Stock</v>
      </c>
      <c r="L193">
        <f t="shared" si="2"/>
        <v>1798.9300000000003</v>
      </c>
      <c r="M193" t="s">
        <v>710</v>
      </c>
      <c r="N193">
        <v>1484</v>
      </c>
      <c r="O193" t="s">
        <v>711</v>
      </c>
      <c r="P193" t="str">
        <f>RIGHT(RIGHT(Table2[[#This Row],[last Updated]],12),4)</f>
        <v xml:space="preserve"> PDT</v>
      </c>
      <c r="Q193" t="s">
        <v>65</v>
      </c>
    </row>
    <row r="194" spans="1:17" x14ac:dyDescent="0.25">
      <c r="A194" t="s">
        <v>208</v>
      </c>
      <c r="B194" t="str">
        <f>UPPER(Table2[[#This Row],[Brand]])</f>
        <v>POLO RALPH LAUREN</v>
      </c>
      <c r="C194" t="str">
        <f>LOWER(Table2[[#This Row],[Brand]])</f>
        <v>polo ralph lauren</v>
      </c>
      <c r="D194" t="str">
        <f>PROPER(Table2[[#This Row],[Brand]])</f>
        <v>Polo Ralph Lauren</v>
      </c>
      <c r="E194" t="s">
        <v>15</v>
      </c>
      <c r="F194">
        <v>36.99</v>
      </c>
      <c r="G194" t="s">
        <v>517</v>
      </c>
      <c r="H19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$36.99</v>
      </c>
      <c r="I194" t="str">
        <f>LEFT(Table2[[#This Row],[priceWithCurrency]],3)</f>
        <v xml:space="preserve">US </v>
      </c>
      <c r="J194">
        <v>9</v>
      </c>
      <c r="K194" t="str">
        <f>IF(Table2[[#This Row],[Available]]&lt;=50, "Less Stock", "Required stock" )</f>
        <v>Less Stock</v>
      </c>
      <c r="L194">
        <f t="shared" ref="L194:L257" si="3">SUMIF(E194:E274,E238,F238:F1193)</f>
        <v>1780.9200000000003</v>
      </c>
      <c r="M194" t="s">
        <v>712</v>
      </c>
      <c r="N194">
        <v>257</v>
      </c>
      <c r="O194" t="s">
        <v>713</v>
      </c>
      <c r="P194" t="str">
        <f>RIGHT(RIGHT(Table2[[#This Row],[last Updated]],12),4)</f>
        <v xml:space="preserve"> PDT</v>
      </c>
      <c r="Q194" t="s">
        <v>456</v>
      </c>
    </row>
    <row r="195" spans="1:17" x14ac:dyDescent="0.25">
      <c r="A195" t="s">
        <v>714</v>
      </c>
      <c r="B195" t="str">
        <f>UPPER(Table2[[#This Row],[Brand]])</f>
        <v>MONT BLANC</v>
      </c>
      <c r="C195" t="str">
        <f>LOWER(Table2[[#This Row],[Brand]])</f>
        <v>mont blanc</v>
      </c>
      <c r="D195" t="str">
        <f>PROPER(Table2[[#This Row],[Brand]])</f>
        <v>Mont Blanc</v>
      </c>
      <c r="E195" t="s">
        <v>715</v>
      </c>
      <c r="F195">
        <v>36.81</v>
      </c>
      <c r="G195" t="s">
        <v>716</v>
      </c>
      <c r="H19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$36.81</v>
      </c>
      <c r="I195" t="str">
        <f>LEFT(Table2[[#This Row],[priceWithCurrency]],3)</f>
        <v xml:space="preserve">US </v>
      </c>
      <c r="J195">
        <v>207</v>
      </c>
      <c r="K195" t="str">
        <f>IF(Table2[[#This Row],[Available]]&lt;=50, "Less Stock", "Required stock" )</f>
        <v>Required stock</v>
      </c>
      <c r="L195">
        <f t="shared" si="3"/>
        <v>1695.9300000000003</v>
      </c>
      <c r="M195" t="s">
        <v>717</v>
      </c>
      <c r="N195">
        <v>1234</v>
      </c>
      <c r="O195" t="s">
        <v>718</v>
      </c>
      <c r="P195" t="str">
        <f>RIGHT(RIGHT(Table2[[#This Row],[last Updated]],12),4)</f>
        <v xml:space="preserve"> PDT</v>
      </c>
      <c r="Q195" t="s">
        <v>121</v>
      </c>
    </row>
    <row r="196" spans="1:17" x14ac:dyDescent="0.25">
      <c r="A196" t="s">
        <v>500</v>
      </c>
      <c r="B196" t="str">
        <f>UPPER(Table2[[#This Row],[Brand]])</f>
        <v>DOSSIER</v>
      </c>
      <c r="C196" t="str">
        <f>LOWER(Table2[[#This Row],[Brand]])</f>
        <v>dossier</v>
      </c>
      <c r="D196" t="str">
        <f>PROPER(Table2[[#This Row],[Brand]])</f>
        <v>Dossier</v>
      </c>
      <c r="E196" t="s">
        <v>4</v>
      </c>
      <c r="F196">
        <v>15</v>
      </c>
      <c r="G196" t="s">
        <v>719</v>
      </c>
      <c r="H19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$15.00</v>
      </c>
      <c r="I196" t="str">
        <f>LEFT(Table2[[#This Row],[priceWithCurrency]],3)</f>
        <v xml:space="preserve">US </v>
      </c>
      <c r="J196">
        <v>10</v>
      </c>
      <c r="K196" t="str">
        <f>IF(Table2[[#This Row],[Available]]&lt;=50, "Less Stock", "Required stock" )</f>
        <v>Less Stock</v>
      </c>
      <c r="L196">
        <f t="shared" si="3"/>
        <v>1695.9300000000003</v>
      </c>
      <c r="M196" t="s">
        <v>720</v>
      </c>
      <c r="N196">
        <v>12</v>
      </c>
      <c r="O196" t="s">
        <v>721</v>
      </c>
      <c r="P196" t="str">
        <f>RIGHT(RIGHT(Table2[[#This Row],[last Updated]],12),4)</f>
        <v xml:space="preserve"> PDT</v>
      </c>
      <c r="Q196" t="s">
        <v>503</v>
      </c>
    </row>
    <row r="197" spans="1:17" x14ac:dyDescent="0.25">
      <c r="A197" t="s">
        <v>56</v>
      </c>
      <c r="B197" t="str">
        <f>UPPER(Table2[[#This Row],[Brand]])</f>
        <v>RALPH LAUREN</v>
      </c>
      <c r="C197" t="str">
        <f>LOWER(Table2[[#This Row],[Brand]])</f>
        <v>ralph lauren</v>
      </c>
      <c r="D197" t="str">
        <f>PROPER(Table2[[#This Row],[Brand]])</f>
        <v>Ralph Lauren</v>
      </c>
      <c r="E197" t="s">
        <v>15</v>
      </c>
      <c r="F197">
        <v>49.99</v>
      </c>
      <c r="G197" t="s">
        <v>114</v>
      </c>
      <c r="H19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$49.99</v>
      </c>
      <c r="I197" t="str">
        <f>LEFT(Table2[[#This Row],[priceWithCurrency]],3)</f>
        <v xml:space="preserve">US </v>
      </c>
      <c r="J197">
        <v>10</v>
      </c>
      <c r="K197" t="str">
        <f>IF(Table2[[#This Row],[Available]]&lt;=50, "Less Stock", "Required stock" )</f>
        <v>Less Stock</v>
      </c>
      <c r="L197">
        <f t="shared" si="3"/>
        <v>171.63</v>
      </c>
      <c r="M197" t="s">
        <v>722</v>
      </c>
      <c r="N197">
        <v>243</v>
      </c>
      <c r="O197" t="s">
        <v>723</v>
      </c>
      <c r="P197" t="str">
        <f>RIGHT(RIGHT(Table2[[#This Row],[last Updated]],12),4)</f>
        <v xml:space="preserve"> PDT</v>
      </c>
      <c r="Q197" t="s">
        <v>89</v>
      </c>
    </row>
    <row r="198" spans="1:17" x14ac:dyDescent="0.25">
      <c r="A198" t="s">
        <v>724</v>
      </c>
      <c r="B198" t="str">
        <f>UPPER(Table2[[#This Row],[Brand]])</f>
        <v>BHARARA</v>
      </c>
      <c r="C198" t="str">
        <f>LOWER(Table2[[#This Row],[Brand]])</f>
        <v>bharara</v>
      </c>
      <c r="D198" t="str">
        <f>PROPER(Table2[[#This Row],[Brand]])</f>
        <v>Bharara</v>
      </c>
      <c r="E198" t="s">
        <v>4</v>
      </c>
      <c r="F198">
        <v>53.99</v>
      </c>
      <c r="G198" t="s">
        <v>725</v>
      </c>
      <c r="H19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$53.99</v>
      </c>
      <c r="I198" t="str">
        <f>LEFT(Table2[[#This Row],[priceWithCurrency]],3)</f>
        <v xml:space="preserve">US </v>
      </c>
      <c r="J198">
        <v>9</v>
      </c>
      <c r="K198" t="str">
        <f>IF(Table2[[#This Row],[Available]]&lt;=50, "Less Stock", "Required stock" )</f>
        <v>Less Stock</v>
      </c>
      <c r="L198">
        <f t="shared" si="3"/>
        <v>695.46000000000015</v>
      </c>
      <c r="M198" t="s">
        <v>726</v>
      </c>
      <c r="N198">
        <v>512</v>
      </c>
      <c r="O198" t="s">
        <v>727</v>
      </c>
      <c r="P198" t="str">
        <f>RIGHT(RIGHT(Table2[[#This Row],[last Updated]],12),4)</f>
        <v xml:space="preserve"> PDT</v>
      </c>
      <c r="Q198" t="s">
        <v>438</v>
      </c>
    </row>
    <row r="199" spans="1:17" x14ac:dyDescent="0.25">
      <c r="A199" t="s">
        <v>728</v>
      </c>
      <c r="B199" t="str">
        <f>UPPER(Table2[[#This Row],[Brand]])</f>
        <v>TOMMY BAHAMA</v>
      </c>
      <c r="C199" t="str">
        <f>LOWER(Table2[[#This Row],[Brand]])</f>
        <v>tommy bahama</v>
      </c>
      <c r="D199" t="str">
        <f>PROPER(Table2[[#This Row],[Brand]])</f>
        <v>Tommy Bahama</v>
      </c>
      <c r="E199" t="s">
        <v>374</v>
      </c>
      <c r="F199">
        <v>22.98</v>
      </c>
      <c r="G199" t="s">
        <v>729</v>
      </c>
      <c r="H19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$22.98</v>
      </c>
      <c r="I199" t="str">
        <f>LEFT(Table2[[#This Row],[priceWithCurrency]],3)</f>
        <v xml:space="preserve">US </v>
      </c>
      <c r="J199">
        <v>3</v>
      </c>
      <c r="K199" t="str">
        <f>IF(Table2[[#This Row],[Available]]&lt;=50, "Less Stock", "Required stock" )</f>
        <v>Less Stock</v>
      </c>
      <c r="L199">
        <f t="shared" si="3"/>
        <v>1692.9400000000003</v>
      </c>
      <c r="M199" t="s">
        <v>730</v>
      </c>
      <c r="N199">
        <v>18</v>
      </c>
      <c r="O199" t="s">
        <v>731</v>
      </c>
      <c r="P199" t="str">
        <f>RIGHT(RIGHT(Table2[[#This Row],[last Updated]],12),4)</f>
        <v xml:space="preserve"> PDT</v>
      </c>
      <c r="Q199" t="s">
        <v>30</v>
      </c>
    </row>
    <row r="200" spans="1:17" x14ac:dyDescent="0.25">
      <c r="A200" t="s">
        <v>714</v>
      </c>
      <c r="B200" t="str">
        <f>UPPER(Table2[[#This Row],[Brand]])</f>
        <v>MONT BLANC</v>
      </c>
      <c r="C200" t="str">
        <f>LOWER(Table2[[#This Row],[Brand]])</f>
        <v>mont blanc</v>
      </c>
      <c r="D200" t="str">
        <f>PROPER(Table2[[#This Row],[Brand]])</f>
        <v>Mont Blanc</v>
      </c>
      <c r="E200" t="s">
        <v>15</v>
      </c>
      <c r="F200">
        <v>22.24</v>
      </c>
      <c r="G200" t="s">
        <v>732</v>
      </c>
      <c r="H20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$22.24</v>
      </c>
      <c r="I200" t="str">
        <f>LEFT(Table2[[#This Row],[priceWithCurrency]],3)</f>
        <v xml:space="preserve">US </v>
      </c>
      <c r="J200">
        <v>10</v>
      </c>
      <c r="K200" t="str">
        <f>IF(Table2[[#This Row],[Available]]&lt;=50, "Less Stock", "Required stock" )</f>
        <v>Less Stock</v>
      </c>
      <c r="L200">
        <f t="shared" si="3"/>
        <v>1692.9400000000003</v>
      </c>
      <c r="M200" t="s">
        <v>733</v>
      </c>
      <c r="N200">
        <v>1424</v>
      </c>
      <c r="O200" t="s">
        <v>734</v>
      </c>
      <c r="P200" t="str">
        <f>RIGHT(RIGHT(Table2[[#This Row],[last Updated]],12),4)</f>
        <v xml:space="preserve"> PDT</v>
      </c>
      <c r="Q200" t="s">
        <v>108</v>
      </c>
    </row>
    <row r="201" spans="1:17" x14ac:dyDescent="0.25">
      <c r="A201" t="s">
        <v>61</v>
      </c>
      <c r="B201" t="str">
        <f>UPPER(Table2[[#This Row],[Brand]])</f>
        <v>DOLCE&amp;GABBANA</v>
      </c>
      <c r="C201" t="str">
        <f>LOWER(Table2[[#This Row],[Brand]])</f>
        <v>dolce&amp;gabbana</v>
      </c>
      <c r="D201" t="str">
        <f>PROPER(Table2[[#This Row],[Brand]])</f>
        <v>Dolce&amp;Gabbana</v>
      </c>
      <c r="E201" t="s">
        <v>15</v>
      </c>
      <c r="F201">
        <v>28.5</v>
      </c>
      <c r="G201" t="s">
        <v>735</v>
      </c>
      <c r="H20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$28.50</v>
      </c>
      <c r="I201" t="str">
        <f>LEFT(Table2[[#This Row],[priceWithCurrency]],3)</f>
        <v xml:space="preserve">US </v>
      </c>
      <c r="J201">
        <v>6</v>
      </c>
      <c r="K201" t="str">
        <f>IF(Table2[[#This Row],[Available]]&lt;=50, "Less Stock", "Required stock" )</f>
        <v>Less Stock</v>
      </c>
      <c r="L201">
        <f t="shared" si="3"/>
        <v>1644.9500000000003</v>
      </c>
      <c r="M201" t="s">
        <v>736</v>
      </c>
      <c r="N201">
        <v>566</v>
      </c>
      <c r="O201" t="s">
        <v>737</v>
      </c>
      <c r="P201" t="str">
        <f>RIGHT(RIGHT(Table2[[#This Row],[last Updated]],12),4)</f>
        <v xml:space="preserve"> PDT</v>
      </c>
      <c r="Q201" t="s">
        <v>738</v>
      </c>
    </row>
    <row r="202" spans="1:17" x14ac:dyDescent="0.25">
      <c r="A202" t="s">
        <v>90</v>
      </c>
      <c r="B202" t="str">
        <f>UPPER(Table2[[#This Row],[Brand]])</f>
        <v>ARMAF</v>
      </c>
      <c r="C202" t="str">
        <f>LOWER(Table2[[#This Row],[Brand]])</f>
        <v>armaf</v>
      </c>
      <c r="D202" t="str">
        <f>PROPER(Table2[[#This Row],[Brand]])</f>
        <v>Armaf</v>
      </c>
      <c r="E202" t="s">
        <v>4</v>
      </c>
      <c r="F202">
        <v>29</v>
      </c>
      <c r="G202" t="s">
        <v>739</v>
      </c>
      <c r="H20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$29.00</v>
      </c>
      <c r="I202" t="str">
        <f>LEFT(Table2[[#This Row],[priceWithCurrency]],3)</f>
        <v xml:space="preserve">US </v>
      </c>
      <c r="J202">
        <v>3</v>
      </c>
      <c r="K202" t="str">
        <f>IF(Table2[[#This Row],[Available]]&lt;=50, "Less Stock", "Required stock" )</f>
        <v>Less Stock</v>
      </c>
      <c r="L202">
        <f t="shared" si="3"/>
        <v>212.48000000000002</v>
      </c>
      <c r="M202" t="s">
        <v>740</v>
      </c>
      <c r="N202">
        <v>57</v>
      </c>
      <c r="O202" t="s">
        <v>741</v>
      </c>
      <c r="P202" t="str">
        <f>RIGHT(RIGHT(Table2[[#This Row],[last Updated]],12),4)</f>
        <v xml:space="preserve"> PDT</v>
      </c>
      <c r="Q202" t="s">
        <v>30</v>
      </c>
    </row>
    <row r="203" spans="1:17" x14ac:dyDescent="0.25">
      <c r="A203" t="s">
        <v>742</v>
      </c>
      <c r="B203" t="str">
        <f>UPPER(Table2[[#This Row],[Brand]])</f>
        <v>PAUL SEBASTIAN</v>
      </c>
      <c r="C203" t="str">
        <f>LOWER(Table2[[#This Row],[Brand]])</f>
        <v>paul sebastian</v>
      </c>
      <c r="D203" t="str">
        <f>PROPER(Table2[[#This Row],[Brand]])</f>
        <v>Paul Sebastian</v>
      </c>
      <c r="E203" t="s">
        <v>374</v>
      </c>
      <c r="F203">
        <v>17.12</v>
      </c>
      <c r="G203" t="s">
        <v>743</v>
      </c>
      <c r="H20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$17.12</v>
      </c>
      <c r="I203" t="str">
        <f>LEFT(Table2[[#This Row],[priceWithCurrency]],3)</f>
        <v xml:space="preserve">US </v>
      </c>
      <c r="J203">
        <v>310</v>
      </c>
      <c r="K203" t="str">
        <f>IF(Table2[[#This Row],[Available]]&lt;=50, "Less Stock", "Required stock" )</f>
        <v>Required stock</v>
      </c>
      <c r="L203">
        <f t="shared" si="3"/>
        <v>1691.94</v>
      </c>
      <c r="M203" t="s">
        <v>744</v>
      </c>
      <c r="N203">
        <v>597</v>
      </c>
      <c r="O203" t="s">
        <v>745</v>
      </c>
      <c r="P203" t="str">
        <f>RIGHT(RIGHT(Table2[[#This Row],[last Updated]],12),4)</f>
        <v xml:space="preserve"> PDT</v>
      </c>
      <c r="Q203" t="s">
        <v>121</v>
      </c>
    </row>
    <row r="204" spans="1:17" x14ac:dyDescent="0.25">
      <c r="A204" t="s">
        <v>746</v>
      </c>
      <c r="B204" t="str">
        <f>UPPER(Table2[[#This Row],[Brand]])</f>
        <v>HALLOWEEN</v>
      </c>
      <c r="C204" t="str">
        <f>LOWER(Table2[[#This Row],[Brand]])</f>
        <v>halloween</v>
      </c>
      <c r="D204" t="str">
        <f>PROPER(Table2[[#This Row],[Brand]])</f>
        <v>Halloween</v>
      </c>
      <c r="E204" t="s">
        <v>26</v>
      </c>
      <c r="F204">
        <v>30.07</v>
      </c>
      <c r="G204" t="s">
        <v>747</v>
      </c>
      <c r="H20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$30.07</v>
      </c>
      <c r="I204" t="str">
        <f>LEFT(Table2[[#This Row],[priceWithCurrency]],3)</f>
        <v xml:space="preserve">US </v>
      </c>
      <c r="J204">
        <v>3</v>
      </c>
      <c r="K204" t="str">
        <f>IF(Table2[[#This Row],[Available]]&lt;=50, "Less Stock", "Required stock" )</f>
        <v>Less Stock</v>
      </c>
      <c r="L204">
        <f t="shared" si="3"/>
        <v>64.94</v>
      </c>
      <c r="M204" t="s">
        <v>748</v>
      </c>
      <c r="N204">
        <v>25</v>
      </c>
      <c r="O204" t="s">
        <v>749</v>
      </c>
      <c r="P204" t="str">
        <f>RIGHT(RIGHT(Table2[[#This Row],[last Updated]],12),4)</f>
        <v xml:space="preserve"> PDT</v>
      </c>
      <c r="Q204" t="s">
        <v>30</v>
      </c>
    </row>
    <row r="205" spans="1:17" x14ac:dyDescent="0.25">
      <c r="A205" t="s">
        <v>750</v>
      </c>
      <c r="B205" t="str">
        <f>UPPER(Table2[[#This Row],[Brand]])</f>
        <v>BOUCHERON</v>
      </c>
      <c r="C205" t="str">
        <f>LOWER(Table2[[#This Row],[Brand]])</f>
        <v>boucheron</v>
      </c>
      <c r="D205" t="str">
        <f>PROPER(Table2[[#This Row],[Brand]])</f>
        <v>Boucheron</v>
      </c>
      <c r="E205" t="s">
        <v>4</v>
      </c>
      <c r="F205">
        <v>32.89</v>
      </c>
      <c r="G205" t="s">
        <v>751</v>
      </c>
      <c r="H20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$32.89</v>
      </c>
      <c r="I205" t="str">
        <f>LEFT(Table2[[#This Row],[priceWithCurrency]],3)</f>
        <v xml:space="preserve">US </v>
      </c>
      <c r="J205">
        <v>3</v>
      </c>
      <c r="K205" t="str">
        <f>IF(Table2[[#This Row],[Available]]&lt;=50, "Less Stock", "Required stock" )</f>
        <v>Less Stock</v>
      </c>
      <c r="L205">
        <f t="shared" si="3"/>
        <v>1709.93</v>
      </c>
      <c r="M205" t="s">
        <v>752</v>
      </c>
      <c r="N205">
        <v>61</v>
      </c>
      <c r="O205" t="s">
        <v>753</v>
      </c>
      <c r="P205" t="str">
        <f>RIGHT(RIGHT(Table2[[#This Row],[last Updated]],12),4)</f>
        <v xml:space="preserve"> PDT</v>
      </c>
      <c r="Q205" t="s">
        <v>30</v>
      </c>
    </row>
    <row r="206" spans="1:17" x14ac:dyDescent="0.25">
      <c r="A206" t="s">
        <v>754</v>
      </c>
      <c r="B206" t="str">
        <f>UPPER(Table2[[#This Row],[Brand]])</f>
        <v>THIERRY MUGLER</v>
      </c>
      <c r="C206" t="str">
        <f>LOWER(Table2[[#This Row],[Brand]])</f>
        <v>thierry mugler</v>
      </c>
      <c r="D206" t="str">
        <f>PROPER(Table2[[#This Row],[Brand]])</f>
        <v>Thierry Mugler</v>
      </c>
      <c r="E206" t="s">
        <v>15</v>
      </c>
      <c r="F206">
        <v>59.99</v>
      </c>
      <c r="G206" t="s">
        <v>72</v>
      </c>
      <c r="H20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$59.99</v>
      </c>
      <c r="I206" t="str">
        <f>LEFT(Table2[[#This Row],[priceWithCurrency]],3)</f>
        <v xml:space="preserve">US </v>
      </c>
      <c r="J206">
        <v>10</v>
      </c>
      <c r="K206" t="str">
        <f>IF(Table2[[#This Row],[Available]]&lt;=50, "Less Stock", "Required stock" )</f>
        <v>Less Stock</v>
      </c>
      <c r="L206">
        <f t="shared" si="3"/>
        <v>198.59</v>
      </c>
      <c r="M206" t="s">
        <v>755</v>
      </c>
      <c r="N206">
        <v>221</v>
      </c>
      <c r="O206" t="s">
        <v>756</v>
      </c>
      <c r="P206" t="str">
        <f>RIGHT(RIGHT(Table2[[#This Row],[last Updated]],12),4)</f>
        <v xml:space="preserve"> PDT</v>
      </c>
      <c r="Q206" t="s">
        <v>131</v>
      </c>
    </row>
    <row r="207" spans="1:17" x14ac:dyDescent="0.25">
      <c r="A207" t="s">
        <v>757</v>
      </c>
      <c r="B207" t="str">
        <f>UPPER(Table2[[#This Row],[Brand]])</f>
        <v>JO MALONE</v>
      </c>
      <c r="C207" t="str">
        <f>LOWER(Table2[[#This Row],[Brand]])</f>
        <v>jo malone</v>
      </c>
      <c r="D207" t="str">
        <f>PROPER(Table2[[#This Row],[Brand]])</f>
        <v>Jo Malone</v>
      </c>
      <c r="E207" t="s">
        <v>758</v>
      </c>
      <c r="F207">
        <v>63.99</v>
      </c>
      <c r="G207" t="s">
        <v>759</v>
      </c>
      <c r="H20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$63.99</v>
      </c>
      <c r="I207" t="str">
        <f>LEFT(Table2[[#This Row],[priceWithCurrency]],3)</f>
        <v xml:space="preserve">US </v>
      </c>
      <c r="J207">
        <v>2</v>
      </c>
      <c r="K207" t="str">
        <f>IF(Table2[[#This Row],[Available]]&lt;=50, "Less Stock", "Required stock" )</f>
        <v>Less Stock</v>
      </c>
      <c r="L207">
        <f t="shared" si="3"/>
        <v>712.45</v>
      </c>
      <c r="M207" t="s">
        <v>760</v>
      </c>
      <c r="N207">
        <v>6</v>
      </c>
      <c r="O207" t="s">
        <v>761</v>
      </c>
      <c r="P207" t="str">
        <f>RIGHT(RIGHT(Table2[[#This Row],[last Updated]],12),4)</f>
        <v xml:space="preserve"> PDT</v>
      </c>
      <c r="Q207" t="s">
        <v>762</v>
      </c>
    </row>
    <row r="208" spans="1:17" x14ac:dyDescent="0.25">
      <c r="A208" t="s">
        <v>61</v>
      </c>
      <c r="B208" t="str">
        <f>UPPER(Table2[[#This Row],[Brand]])</f>
        <v>DOLCE&amp;GABBANA</v>
      </c>
      <c r="C208" t="str">
        <f>LOWER(Table2[[#This Row],[Brand]])</f>
        <v>dolce&amp;gabbana</v>
      </c>
      <c r="D208" t="str">
        <f>PROPER(Table2[[#This Row],[Brand]])</f>
        <v>Dolce&amp;Gabbana</v>
      </c>
      <c r="E208" t="s">
        <v>15</v>
      </c>
      <c r="F208">
        <v>38.99</v>
      </c>
      <c r="G208" t="s">
        <v>763</v>
      </c>
      <c r="H20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$38.99</v>
      </c>
      <c r="I208" t="str">
        <f>LEFT(Table2[[#This Row],[priceWithCurrency]],3)</f>
        <v xml:space="preserve">US </v>
      </c>
      <c r="J208">
        <v>5</v>
      </c>
      <c r="K208" t="str">
        <f>IF(Table2[[#This Row],[Available]]&lt;=50, "Less Stock", "Required stock" )</f>
        <v>Less Stock</v>
      </c>
      <c r="L208">
        <f t="shared" si="3"/>
        <v>1867.26</v>
      </c>
      <c r="M208" t="s">
        <v>764</v>
      </c>
      <c r="N208">
        <v>40</v>
      </c>
      <c r="O208" t="s">
        <v>765</v>
      </c>
      <c r="P208" t="str">
        <f>RIGHT(RIGHT(Table2[[#This Row],[last Updated]],12),4)</f>
        <v xml:space="preserve"> PDT</v>
      </c>
      <c r="Q208" t="s">
        <v>406</v>
      </c>
    </row>
    <row r="209" spans="1:17" x14ac:dyDescent="0.25">
      <c r="A209" t="s">
        <v>20</v>
      </c>
      <c r="B209" t="str">
        <f>UPPER(Table2[[#This Row],[Brand]])</f>
        <v>GIORGIO ARMANI</v>
      </c>
      <c r="C209" t="str">
        <f>LOWER(Table2[[#This Row],[Brand]])</f>
        <v>giorgio armani</v>
      </c>
      <c r="D209" t="str">
        <f>PROPER(Table2[[#This Row],[Brand]])</f>
        <v>Giorgio Armani</v>
      </c>
      <c r="E209" t="s">
        <v>15</v>
      </c>
      <c r="F209">
        <v>29.99</v>
      </c>
      <c r="G209" t="s">
        <v>91</v>
      </c>
      <c r="H20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$29.99</v>
      </c>
      <c r="I209" t="str">
        <f>LEFT(Table2[[#This Row],[priceWithCurrency]],3)</f>
        <v xml:space="preserve">US </v>
      </c>
      <c r="J209">
        <v>6</v>
      </c>
      <c r="K209" t="str">
        <f>IF(Table2[[#This Row],[Available]]&lt;=50, "Less Stock", "Required stock" )</f>
        <v>Less Stock</v>
      </c>
      <c r="L209">
        <f t="shared" si="3"/>
        <v>1831.27</v>
      </c>
      <c r="M209" t="s">
        <v>766</v>
      </c>
      <c r="N209">
        <v>233</v>
      </c>
      <c r="O209" t="s">
        <v>767</v>
      </c>
      <c r="P209" t="str">
        <f>RIGHT(RIGHT(Table2[[#This Row],[last Updated]],12),4)</f>
        <v xml:space="preserve"> PDT</v>
      </c>
      <c r="Q209" t="s">
        <v>768</v>
      </c>
    </row>
    <row r="210" spans="1:17" x14ac:dyDescent="0.25">
      <c r="A210" t="s">
        <v>769</v>
      </c>
      <c r="B210" t="str">
        <f>UPPER(Table2[[#This Row],[Brand]])</f>
        <v>ISSEY MIYAKE</v>
      </c>
      <c r="C210" t="str">
        <f>LOWER(Table2[[#This Row],[Brand]])</f>
        <v>issey miyake</v>
      </c>
      <c r="D210" t="str">
        <f>PROPER(Table2[[#This Row],[Brand]])</f>
        <v>Issey Miyake</v>
      </c>
      <c r="E210" t="s">
        <v>15</v>
      </c>
      <c r="F210">
        <v>54.91</v>
      </c>
      <c r="G210" t="s">
        <v>770</v>
      </c>
      <c r="H21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$54.91</v>
      </c>
      <c r="I210" t="str">
        <f>LEFT(Table2[[#This Row],[priceWithCurrency]],3)</f>
        <v xml:space="preserve">US </v>
      </c>
      <c r="J210">
        <v>10</v>
      </c>
      <c r="K210" t="str">
        <f>IF(Table2[[#This Row],[Available]]&lt;=50, "Less Stock", "Required stock" )</f>
        <v>Less Stock</v>
      </c>
      <c r="L210">
        <f t="shared" si="3"/>
        <v>1791.2800000000002</v>
      </c>
      <c r="M210" t="s">
        <v>771</v>
      </c>
      <c r="N210">
        <v>2206</v>
      </c>
      <c r="O210" t="s">
        <v>772</v>
      </c>
      <c r="P210" t="str">
        <f>RIGHT(RIGHT(Table2[[#This Row],[last Updated]],12),4)</f>
        <v xml:space="preserve"> PDT</v>
      </c>
      <c r="Q210" t="s">
        <v>108</v>
      </c>
    </row>
    <row r="211" spans="1:17" x14ac:dyDescent="0.25">
      <c r="A211" t="s">
        <v>586</v>
      </c>
      <c r="B211" t="str">
        <f>UPPER(Table2[[#This Row],[Brand]])</f>
        <v>PARFUMS DE MARLY</v>
      </c>
      <c r="C211" t="str">
        <f>LOWER(Table2[[#This Row],[Brand]])</f>
        <v>parfums de marly</v>
      </c>
      <c r="D211" t="str">
        <f>PROPER(Table2[[#This Row],[Brand]])</f>
        <v>Parfums De Marly</v>
      </c>
      <c r="E211" t="s">
        <v>4</v>
      </c>
      <c r="F211">
        <v>124.96</v>
      </c>
      <c r="G211" t="s">
        <v>773</v>
      </c>
      <c r="H21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$124.96</v>
      </c>
      <c r="I211" t="str">
        <f>LEFT(Table2[[#This Row],[priceWithCurrency]],3)</f>
        <v xml:space="preserve">US </v>
      </c>
      <c r="J211">
        <v>10</v>
      </c>
      <c r="K211" t="str">
        <f>IF(Table2[[#This Row],[Available]]&lt;=50, "Less Stock", "Required stock" )</f>
        <v>Less Stock</v>
      </c>
      <c r="L211">
        <f t="shared" si="3"/>
        <v>712.45</v>
      </c>
      <c r="M211" t="s">
        <v>774</v>
      </c>
      <c r="N211">
        <v>151</v>
      </c>
      <c r="O211" t="s">
        <v>775</v>
      </c>
      <c r="P211" t="str">
        <f>RIGHT(RIGHT(Table2[[#This Row],[last Updated]],12),4)</f>
        <v xml:space="preserve"> PDT</v>
      </c>
      <c r="Q211" t="s">
        <v>108</v>
      </c>
    </row>
    <row r="212" spans="1:17" x14ac:dyDescent="0.25">
      <c r="A212" t="s">
        <v>14</v>
      </c>
      <c r="B212" t="str">
        <f>UPPER(Table2[[#This Row],[Brand]])</f>
        <v>UNBRANDED</v>
      </c>
      <c r="C212" t="str">
        <f>LOWER(Table2[[#This Row],[Brand]])</f>
        <v>unbranded</v>
      </c>
      <c r="D212" t="str">
        <f>PROPER(Table2[[#This Row],[Brand]])</f>
        <v>Unbranded</v>
      </c>
      <c r="E212" t="s">
        <v>776</v>
      </c>
      <c r="F212">
        <v>49.99</v>
      </c>
      <c r="G212" t="s">
        <v>52</v>
      </c>
      <c r="H21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$49.99</v>
      </c>
      <c r="I212" t="str">
        <f>LEFT(Table2[[#This Row],[priceWithCurrency]],3)</f>
        <v xml:space="preserve">US </v>
      </c>
      <c r="J212">
        <v>8</v>
      </c>
      <c r="K212" t="str">
        <f>IF(Table2[[#This Row],[Available]]&lt;=50, "Less Stock", "Required stock" )</f>
        <v>Less Stock</v>
      </c>
      <c r="L212">
        <f t="shared" si="3"/>
        <v>713.35</v>
      </c>
      <c r="M212" t="s">
        <v>53</v>
      </c>
      <c r="N212">
        <v>68</v>
      </c>
      <c r="O212" t="s">
        <v>777</v>
      </c>
      <c r="P212" t="str">
        <f>RIGHT(RIGHT(Table2[[#This Row],[last Updated]],12),4)</f>
        <v xml:space="preserve"> PDT</v>
      </c>
      <c r="Q212" t="s">
        <v>778</v>
      </c>
    </row>
    <row r="213" spans="1:17" x14ac:dyDescent="0.25">
      <c r="A213" t="s">
        <v>779</v>
      </c>
      <c r="B213" t="str">
        <f>UPPER(Table2[[#This Row],[Brand]])</f>
        <v>KHADLAJ</v>
      </c>
      <c r="C213" t="str">
        <f>LOWER(Table2[[#This Row],[Brand]])</f>
        <v>khadlaj</v>
      </c>
      <c r="D213" t="str">
        <f>PROPER(Table2[[#This Row],[Brand]])</f>
        <v>Khadlaj</v>
      </c>
      <c r="E213" t="s">
        <v>4</v>
      </c>
      <c r="F213">
        <v>54.86</v>
      </c>
      <c r="G213" t="s">
        <v>780</v>
      </c>
      <c r="H21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$54.86</v>
      </c>
      <c r="I213" t="str">
        <f>LEFT(Table2[[#This Row],[priceWithCurrency]],3)</f>
        <v xml:space="preserve">US </v>
      </c>
      <c r="J213">
        <v>3</v>
      </c>
      <c r="K213" t="str">
        <f>IF(Table2[[#This Row],[Available]]&lt;=50, "Less Stock", "Required stock" )</f>
        <v>Less Stock</v>
      </c>
      <c r="L213">
        <f t="shared" si="3"/>
        <v>24.49</v>
      </c>
      <c r="M213" t="s">
        <v>781</v>
      </c>
      <c r="N213">
        <v>4</v>
      </c>
      <c r="O213" t="s">
        <v>782</v>
      </c>
      <c r="P213" t="str">
        <f>RIGHT(RIGHT(Table2[[#This Row],[last Updated]],12),4)</f>
        <v xml:space="preserve"> PDT</v>
      </c>
      <c r="Q213" t="s">
        <v>30</v>
      </c>
    </row>
    <row r="214" spans="1:17" x14ac:dyDescent="0.25">
      <c r="A214" t="s">
        <v>476</v>
      </c>
      <c r="B214" t="str">
        <f>UPPER(Table2[[#This Row],[Brand]])</f>
        <v>HERMÈS</v>
      </c>
      <c r="C214" t="str">
        <f>LOWER(Table2[[#This Row],[Brand]])</f>
        <v>hermès</v>
      </c>
      <c r="D214" t="str">
        <f>PROPER(Table2[[#This Row],[Brand]])</f>
        <v>Hermès</v>
      </c>
      <c r="E214" t="s">
        <v>15</v>
      </c>
      <c r="F214">
        <v>99.99</v>
      </c>
      <c r="G214" t="s">
        <v>144</v>
      </c>
      <c r="H21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$99.99</v>
      </c>
      <c r="I214" t="str">
        <f>LEFT(Table2[[#This Row],[priceWithCurrency]],3)</f>
        <v xml:space="preserve">US </v>
      </c>
      <c r="J214">
        <v>10</v>
      </c>
      <c r="K214" t="str">
        <f>IF(Table2[[#This Row],[Available]]&lt;=50, "Less Stock", "Required stock" )</f>
        <v>Less Stock</v>
      </c>
      <c r="L214">
        <f t="shared" si="3"/>
        <v>1868.2800000000002</v>
      </c>
      <c r="M214" t="s">
        <v>783</v>
      </c>
      <c r="N214">
        <v>65</v>
      </c>
      <c r="O214" t="s">
        <v>784</v>
      </c>
      <c r="P214" t="str">
        <f>RIGHT(RIGHT(Table2[[#This Row],[last Updated]],12),4)</f>
        <v xml:space="preserve"> PDT</v>
      </c>
      <c r="Q214" t="s">
        <v>89</v>
      </c>
    </row>
    <row r="215" spans="1:17" x14ac:dyDescent="0.25">
      <c r="A215" t="s">
        <v>666</v>
      </c>
      <c r="B215" t="str">
        <f>UPPER(Table2[[#This Row],[Brand]])</f>
        <v>BATH &amp; BODY WORKS</v>
      </c>
      <c r="C215" t="str">
        <f>LOWER(Table2[[#This Row],[Brand]])</f>
        <v>bath &amp; body works</v>
      </c>
      <c r="D215" t="str">
        <f>PROPER(Table2[[#This Row],[Brand]])</f>
        <v>Bath &amp; Body Works</v>
      </c>
      <c r="E215" t="s">
        <v>374</v>
      </c>
      <c r="F215">
        <v>35.68</v>
      </c>
      <c r="G215" t="s">
        <v>785</v>
      </c>
      <c r="H21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$35.68</v>
      </c>
      <c r="I215" t="str">
        <f>LEFT(Table2[[#This Row],[priceWithCurrency]],3)</f>
        <v xml:space="preserve">US </v>
      </c>
      <c r="J215">
        <v>9</v>
      </c>
      <c r="K215" t="str">
        <f>IF(Table2[[#This Row],[Available]]&lt;=50, "Less Stock", "Required stock" )</f>
        <v>Less Stock</v>
      </c>
      <c r="L215">
        <f t="shared" si="3"/>
        <v>744.31999999999994</v>
      </c>
      <c r="M215" t="s">
        <v>786</v>
      </c>
      <c r="N215">
        <v>12</v>
      </c>
      <c r="P215" t="str">
        <f>RIGHT(RIGHT(Table2[[#This Row],[last Updated]],12),4)</f>
        <v/>
      </c>
      <c r="Q215" t="s">
        <v>669</v>
      </c>
    </row>
    <row r="216" spans="1:17" x14ac:dyDescent="0.25">
      <c r="A216" t="s">
        <v>56</v>
      </c>
      <c r="B216" t="str">
        <f>UPPER(Table2[[#This Row],[Brand]])</f>
        <v>RALPH LAUREN</v>
      </c>
      <c r="C216" t="str">
        <f>LOWER(Table2[[#This Row],[Brand]])</f>
        <v>ralph lauren</v>
      </c>
      <c r="D216" t="str">
        <f>PROPER(Table2[[#This Row],[Brand]])</f>
        <v>Ralph Lauren</v>
      </c>
      <c r="E216" t="s">
        <v>15</v>
      </c>
      <c r="F216">
        <v>44.99</v>
      </c>
      <c r="G216" t="s">
        <v>21</v>
      </c>
      <c r="H21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$44.99</v>
      </c>
      <c r="I216" t="str">
        <f>LEFT(Table2[[#This Row],[priceWithCurrency]],3)</f>
        <v xml:space="preserve">US </v>
      </c>
      <c r="J216">
        <v>6</v>
      </c>
      <c r="K216" t="str">
        <f>IF(Table2[[#This Row],[Available]]&lt;=50, "Less Stock", "Required stock" )</f>
        <v>Less Stock</v>
      </c>
      <c r="L216">
        <f t="shared" si="3"/>
        <v>924.31999999999994</v>
      </c>
      <c r="M216" t="s">
        <v>787</v>
      </c>
      <c r="N216">
        <v>14</v>
      </c>
      <c r="O216" t="s">
        <v>788</v>
      </c>
      <c r="P216" t="str">
        <f>RIGHT(RIGHT(Table2[[#This Row],[last Updated]],12),4)</f>
        <v xml:space="preserve"> PDT</v>
      </c>
      <c r="Q216" t="s">
        <v>65</v>
      </c>
    </row>
    <row r="217" spans="1:17" x14ac:dyDescent="0.25">
      <c r="A217" t="s">
        <v>789</v>
      </c>
      <c r="B217" t="str">
        <f>UPPER(Table2[[#This Row],[Brand]])</f>
        <v>LOUIS VUITTON</v>
      </c>
      <c r="C217" t="str">
        <f>LOWER(Table2[[#This Row],[Brand]])</f>
        <v>louis vuitton</v>
      </c>
      <c r="D217" t="str">
        <f>PROPER(Table2[[#This Row],[Brand]])</f>
        <v>Louis Vuitton</v>
      </c>
      <c r="E217" t="s">
        <v>4</v>
      </c>
      <c r="F217">
        <v>21.95</v>
      </c>
      <c r="G217" t="s">
        <v>790</v>
      </c>
      <c r="H21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$21.95</v>
      </c>
      <c r="I217" t="str">
        <f>LEFT(Table2[[#This Row],[priceWithCurrency]],3)</f>
        <v xml:space="preserve">US </v>
      </c>
      <c r="J217">
        <v>10</v>
      </c>
      <c r="K217" t="str">
        <f>IF(Table2[[#This Row],[Available]]&lt;=50, "Less Stock", "Required stock" )</f>
        <v>Less Stock</v>
      </c>
      <c r="L217">
        <f t="shared" si="3"/>
        <v>35</v>
      </c>
      <c r="M217" t="s">
        <v>791</v>
      </c>
      <c r="N217">
        <v>448</v>
      </c>
      <c r="O217" t="s">
        <v>792</v>
      </c>
      <c r="P217" t="str">
        <f>RIGHT(RIGHT(Table2[[#This Row],[last Updated]],12),4)</f>
        <v xml:space="preserve"> PDT</v>
      </c>
      <c r="Q217" t="s">
        <v>793</v>
      </c>
    </row>
    <row r="218" spans="1:17" x14ac:dyDescent="0.25">
      <c r="A218" t="s">
        <v>20</v>
      </c>
      <c r="B218" t="str">
        <f>UPPER(Table2[[#This Row],[Brand]])</f>
        <v>GIORGIO ARMANI</v>
      </c>
      <c r="C218" t="str">
        <f>LOWER(Table2[[#This Row],[Brand]])</f>
        <v>giorgio armani</v>
      </c>
      <c r="D218" t="str">
        <f>PROPER(Table2[[#This Row],[Brand]])</f>
        <v>Giorgio Armani</v>
      </c>
      <c r="E218" t="s">
        <v>15</v>
      </c>
      <c r="F218">
        <v>29.99</v>
      </c>
      <c r="G218" t="s">
        <v>91</v>
      </c>
      <c r="H21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$29.99</v>
      </c>
      <c r="I218" t="str">
        <f>LEFT(Table2[[#This Row],[priceWithCurrency]],3)</f>
        <v xml:space="preserve">US </v>
      </c>
      <c r="J218">
        <v>10</v>
      </c>
      <c r="K218" t="str">
        <f>IF(Table2[[#This Row],[Available]]&lt;=50, "Less Stock", "Required stock" )</f>
        <v>Less Stock</v>
      </c>
      <c r="L218">
        <f t="shared" si="3"/>
        <v>1805.3000000000002</v>
      </c>
      <c r="M218" t="s">
        <v>794</v>
      </c>
      <c r="N218">
        <v>588</v>
      </c>
      <c r="O218" t="s">
        <v>795</v>
      </c>
      <c r="P218" t="str">
        <f>RIGHT(RIGHT(Table2[[#This Row],[last Updated]],12),4)</f>
        <v xml:space="preserve"> PDT</v>
      </c>
      <c r="Q218" t="s">
        <v>406</v>
      </c>
    </row>
    <row r="219" spans="1:17" x14ac:dyDescent="0.25">
      <c r="A219" t="s">
        <v>61</v>
      </c>
      <c r="B219" t="str">
        <f>UPPER(Table2[[#This Row],[Brand]])</f>
        <v>DOLCE&amp;GABBANA</v>
      </c>
      <c r="C219" t="str">
        <f>LOWER(Table2[[#This Row],[Brand]])</f>
        <v>dolce&amp;gabbana</v>
      </c>
      <c r="D219" t="str">
        <f>PROPER(Table2[[#This Row],[Brand]])</f>
        <v>Dolce&amp;Gabbana</v>
      </c>
      <c r="E219" t="s">
        <v>15</v>
      </c>
      <c r="F219">
        <v>63.69</v>
      </c>
      <c r="G219" t="s">
        <v>796</v>
      </c>
      <c r="H21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$63.69</v>
      </c>
      <c r="I219" t="str">
        <f>LEFT(Table2[[#This Row],[priceWithCurrency]],3)</f>
        <v xml:space="preserve">US </v>
      </c>
      <c r="K219" t="str">
        <f>IF(Table2[[#This Row],[Available]]&lt;=50, "Less Stock", "Required stock" )</f>
        <v>Less Stock</v>
      </c>
      <c r="L219">
        <f t="shared" si="3"/>
        <v>1775.3100000000002</v>
      </c>
      <c r="M219" t="s">
        <v>797</v>
      </c>
      <c r="N219">
        <v>4733</v>
      </c>
      <c r="O219" t="s">
        <v>798</v>
      </c>
      <c r="P219" t="str">
        <f>RIGHT(RIGHT(Table2[[#This Row],[last Updated]],12),4)</f>
        <v xml:space="preserve"> PDT</v>
      </c>
      <c r="Q219" t="s">
        <v>108</v>
      </c>
    </row>
    <row r="220" spans="1:17" x14ac:dyDescent="0.25">
      <c r="A220" t="s">
        <v>799</v>
      </c>
      <c r="B220" t="str">
        <f>UPPER(Table2[[#This Row],[Brand]])</f>
        <v>CREED</v>
      </c>
      <c r="C220" t="str">
        <f>LOWER(Table2[[#This Row],[Brand]])</f>
        <v>creed</v>
      </c>
      <c r="D220" t="str">
        <f>PROPER(Table2[[#This Row],[Brand]])</f>
        <v>Creed</v>
      </c>
      <c r="E220" t="s">
        <v>276</v>
      </c>
      <c r="F220">
        <v>259.08999999999997</v>
      </c>
      <c r="G220" t="s">
        <v>800</v>
      </c>
      <c r="H22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$259.09</v>
      </c>
      <c r="I220" t="str">
        <f>LEFT(Table2[[#This Row],[priceWithCurrency]],3)</f>
        <v xml:space="preserve">US </v>
      </c>
      <c r="J220">
        <v>10</v>
      </c>
      <c r="K220" t="str">
        <f>IF(Table2[[#This Row],[Available]]&lt;=50, "Less Stock", "Required stock" )</f>
        <v>Less Stock</v>
      </c>
      <c r="L220">
        <f t="shared" si="3"/>
        <v>1757.21</v>
      </c>
      <c r="M220" t="s">
        <v>801</v>
      </c>
      <c r="N220">
        <v>456</v>
      </c>
      <c r="O220" t="s">
        <v>802</v>
      </c>
      <c r="P220" t="str">
        <f>RIGHT(RIGHT(Table2[[#This Row],[last Updated]],12),4)</f>
        <v xml:space="preserve"> PDT</v>
      </c>
      <c r="Q220" t="s">
        <v>226</v>
      </c>
    </row>
    <row r="221" spans="1:17" x14ac:dyDescent="0.25">
      <c r="A221" t="s">
        <v>803</v>
      </c>
      <c r="B221" t="str">
        <f>UPPER(Table2[[#This Row],[Brand]])</f>
        <v>MFK</v>
      </c>
      <c r="C221" t="str">
        <f>LOWER(Table2[[#This Row],[Brand]])</f>
        <v>mfk</v>
      </c>
      <c r="D221" t="str">
        <f>PROPER(Table2[[#This Row],[Brand]])</f>
        <v>Mfk</v>
      </c>
      <c r="E221" t="s">
        <v>4</v>
      </c>
      <c r="F221">
        <v>119.99</v>
      </c>
      <c r="G221" t="s">
        <v>139</v>
      </c>
      <c r="H22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$119.99</v>
      </c>
      <c r="I221" t="str">
        <f>LEFT(Table2[[#This Row],[priceWithCurrency]],3)</f>
        <v xml:space="preserve">US </v>
      </c>
      <c r="J221">
        <v>6</v>
      </c>
      <c r="K221" t="str">
        <f>IF(Table2[[#This Row],[Available]]&lt;=50, "Less Stock", "Required stock" )</f>
        <v>Less Stock</v>
      </c>
      <c r="L221">
        <f t="shared" si="3"/>
        <v>1796.18</v>
      </c>
      <c r="M221" t="s">
        <v>804</v>
      </c>
      <c r="N221">
        <v>13</v>
      </c>
      <c r="O221" t="s">
        <v>805</v>
      </c>
      <c r="P221" t="str">
        <f>RIGHT(RIGHT(Table2[[#This Row],[last Updated]],12),4)</f>
        <v xml:space="preserve"> PDT</v>
      </c>
      <c r="Q221" t="s">
        <v>806</v>
      </c>
    </row>
    <row r="222" spans="1:17" x14ac:dyDescent="0.25">
      <c r="A222" t="s">
        <v>807</v>
      </c>
      <c r="B222" t="str">
        <f>UPPER(Table2[[#This Row],[Brand]])</f>
        <v>HERMES</v>
      </c>
      <c r="C222" t="str">
        <f>LOWER(Table2[[#This Row],[Brand]])</f>
        <v>hermes</v>
      </c>
      <c r="D222" t="str">
        <f>PROPER(Table2[[#This Row],[Brand]])</f>
        <v>Hermes</v>
      </c>
      <c r="E222" t="s">
        <v>26</v>
      </c>
      <c r="F222">
        <v>19.73</v>
      </c>
      <c r="G222" t="s">
        <v>174</v>
      </c>
      <c r="H22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$19.73</v>
      </c>
      <c r="I222" t="str">
        <f>LEFT(Table2[[#This Row],[priceWithCurrency]],3)</f>
        <v xml:space="preserve">US </v>
      </c>
      <c r="J222">
        <v>3</v>
      </c>
      <c r="K222" t="str">
        <f>IF(Table2[[#This Row],[Available]]&lt;=50, "Less Stock", "Required stock" )</f>
        <v>Less Stock</v>
      </c>
      <c r="L222">
        <f t="shared" si="3"/>
        <v>1796.18</v>
      </c>
      <c r="M222" t="s">
        <v>511</v>
      </c>
      <c r="N222">
        <v>20</v>
      </c>
      <c r="O222" t="s">
        <v>808</v>
      </c>
      <c r="P222" t="str">
        <f>RIGHT(RIGHT(Table2[[#This Row],[last Updated]],12),4)</f>
        <v xml:space="preserve"> PDT</v>
      </c>
      <c r="Q222" t="s">
        <v>30</v>
      </c>
    </row>
    <row r="223" spans="1:17" x14ac:dyDescent="0.25">
      <c r="A223" t="s">
        <v>56</v>
      </c>
      <c r="B223" t="str">
        <f>UPPER(Table2[[#This Row],[Brand]])</f>
        <v>RALPH LAUREN</v>
      </c>
      <c r="C223" t="str">
        <f>LOWER(Table2[[#This Row],[Brand]])</f>
        <v>ralph lauren</v>
      </c>
      <c r="D223" t="str">
        <f>PROPER(Table2[[#This Row],[Brand]])</f>
        <v>Ralph Lauren</v>
      </c>
      <c r="E223" t="s">
        <v>15</v>
      </c>
      <c r="F223">
        <v>31.99</v>
      </c>
      <c r="G223" t="s">
        <v>809</v>
      </c>
      <c r="H22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$31.99</v>
      </c>
      <c r="I223" t="str">
        <f>LEFT(Table2[[#This Row],[priceWithCurrency]],3)</f>
        <v xml:space="preserve">US </v>
      </c>
      <c r="J223">
        <v>5</v>
      </c>
      <c r="K223" t="str">
        <f>IF(Table2[[#This Row],[Available]]&lt;=50, "Less Stock", "Required stock" )</f>
        <v>Less Stock</v>
      </c>
      <c r="L223">
        <f t="shared" si="3"/>
        <v>1830.17</v>
      </c>
      <c r="M223" t="s">
        <v>810</v>
      </c>
      <c r="N223">
        <v>56</v>
      </c>
      <c r="O223" t="s">
        <v>811</v>
      </c>
      <c r="P223" t="str">
        <f>RIGHT(RIGHT(Table2[[#This Row],[last Updated]],12),4)</f>
        <v xml:space="preserve"> PDT</v>
      </c>
      <c r="Q223" t="s">
        <v>60</v>
      </c>
    </row>
    <row r="224" spans="1:17" x14ac:dyDescent="0.25">
      <c r="A224" t="s">
        <v>61</v>
      </c>
      <c r="B224" t="str">
        <f>UPPER(Table2[[#This Row],[Brand]])</f>
        <v>DOLCE&amp;GABBANA</v>
      </c>
      <c r="C224" t="str">
        <f>LOWER(Table2[[#This Row],[Brand]])</f>
        <v>dolce&amp;gabbana</v>
      </c>
      <c r="D224" t="str">
        <f>PROPER(Table2[[#This Row],[Brand]])</f>
        <v>Dolce&amp;Gabbana</v>
      </c>
      <c r="E224" t="s">
        <v>15</v>
      </c>
      <c r="F224">
        <v>28.79</v>
      </c>
      <c r="G224" t="s">
        <v>812</v>
      </c>
      <c r="H22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$28.79</v>
      </c>
      <c r="I224" t="str">
        <f>LEFT(Table2[[#This Row],[priceWithCurrency]],3)</f>
        <v xml:space="preserve">US </v>
      </c>
      <c r="J224">
        <v>9</v>
      </c>
      <c r="K224" t="str">
        <f>IF(Table2[[#This Row],[Available]]&lt;=50, "Less Stock", "Required stock" )</f>
        <v>Less Stock</v>
      </c>
      <c r="L224">
        <f t="shared" si="3"/>
        <v>1036.52</v>
      </c>
      <c r="M224" t="s">
        <v>813</v>
      </c>
      <c r="N224">
        <v>45</v>
      </c>
      <c r="O224" t="s">
        <v>814</v>
      </c>
      <c r="P224" t="str">
        <f>RIGHT(RIGHT(Table2[[#This Row],[last Updated]],12),4)</f>
        <v xml:space="preserve"> PDT</v>
      </c>
      <c r="Q224" t="s">
        <v>406</v>
      </c>
    </row>
    <row r="225" spans="1:17" x14ac:dyDescent="0.25">
      <c r="A225" t="s">
        <v>815</v>
      </c>
      <c r="B225" t="str">
        <f>UPPER(Table2[[#This Row],[Brand]])</f>
        <v>FRAGRANCE</v>
      </c>
      <c r="C225" t="str">
        <f>LOWER(Table2[[#This Row],[Brand]])</f>
        <v>fragrance</v>
      </c>
      <c r="D225" t="str">
        <f>PROPER(Table2[[#This Row],[Brand]])</f>
        <v>Fragrance</v>
      </c>
      <c r="E225" t="s">
        <v>4</v>
      </c>
      <c r="F225">
        <v>46.99</v>
      </c>
      <c r="G225" t="s">
        <v>816</v>
      </c>
      <c r="H22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$46.99</v>
      </c>
      <c r="I225" t="str">
        <f>LEFT(Table2[[#This Row],[priceWithCurrency]],3)</f>
        <v xml:space="preserve">US </v>
      </c>
      <c r="J225">
        <v>2</v>
      </c>
      <c r="K225" t="str">
        <f>IF(Table2[[#This Row],[Available]]&lt;=50, "Less Stock", "Required stock" )</f>
        <v>Less Stock</v>
      </c>
      <c r="L225">
        <f t="shared" si="3"/>
        <v>1651.1900000000003</v>
      </c>
      <c r="M225" t="s">
        <v>817</v>
      </c>
      <c r="N225">
        <v>3</v>
      </c>
      <c r="O225" t="s">
        <v>818</v>
      </c>
      <c r="P225" t="str">
        <f>RIGHT(RIGHT(Table2[[#This Row],[last Updated]],12),4)</f>
        <v xml:space="preserve"> PDT</v>
      </c>
      <c r="Q225" t="s">
        <v>819</v>
      </c>
    </row>
    <row r="226" spans="1:17" x14ac:dyDescent="0.25">
      <c r="A226" t="s">
        <v>76</v>
      </c>
      <c r="B226" t="str">
        <f>UPPER(Table2[[#This Row],[Brand]])</f>
        <v>VERSACE</v>
      </c>
      <c r="C226" t="str">
        <f>LOWER(Table2[[#This Row],[Brand]])</f>
        <v>versace</v>
      </c>
      <c r="D226" t="str">
        <f>PROPER(Table2[[#This Row],[Brand]])</f>
        <v>Versace</v>
      </c>
      <c r="E226" t="s">
        <v>15</v>
      </c>
      <c r="F226">
        <v>8.84</v>
      </c>
      <c r="G226" t="s">
        <v>820</v>
      </c>
      <c r="H22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$8.84</v>
      </c>
      <c r="I226" t="str">
        <f>LEFT(Table2[[#This Row],[priceWithCurrency]],3)</f>
        <v xml:space="preserve">US </v>
      </c>
      <c r="J226">
        <v>10</v>
      </c>
      <c r="K226" t="str">
        <f>IF(Table2[[#This Row],[Available]]&lt;=50, "Less Stock", "Required stock" )</f>
        <v>Less Stock</v>
      </c>
      <c r="L226">
        <f t="shared" si="3"/>
        <v>188.98000000000002</v>
      </c>
      <c r="M226" t="s">
        <v>821</v>
      </c>
      <c r="N226">
        <v>9410</v>
      </c>
      <c r="O226" t="s">
        <v>822</v>
      </c>
      <c r="P226" t="str">
        <f>RIGHT(RIGHT(Table2[[#This Row],[last Updated]],12),4)</f>
        <v xml:space="preserve"> PDT</v>
      </c>
      <c r="Q226" t="s">
        <v>108</v>
      </c>
    </row>
    <row r="227" spans="1:17" x14ac:dyDescent="0.25">
      <c r="A227" t="s">
        <v>543</v>
      </c>
      <c r="B227" t="str">
        <f>UPPER(Table2[[#This Row],[Brand]])</f>
        <v>JEAN PAUL GAULTIER</v>
      </c>
      <c r="C227" t="str">
        <f>LOWER(Table2[[#This Row],[Brand]])</f>
        <v>jean paul gaultier</v>
      </c>
      <c r="D227" t="str">
        <f>PROPER(Table2[[#This Row],[Brand]])</f>
        <v>Jean Paul Gaultier</v>
      </c>
      <c r="E227" t="s">
        <v>4</v>
      </c>
      <c r="F227">
        <v>94.99</v>
      </c>
      <c r="G227" t="s">
        <v>823</v>
      </c>
      <c r="H22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$94.99</v>
      </c>
      <c r="I227" t="str">
        <f>LEFT(Table2[[#This Row],[priceWithCurrency]],3)</f>
        <v xml:space="preserve">US </v>
      </c>
      <c r="J227">
        <v>10</v>
      </c>
      <c r="K227" t="str">
        <f>IF(Table2[[#This Row],[Available]]&lt;=50, "Less Stock", "Required stock" )</f>
        <v>Less Stock</v>
      </c>
      <c r="L227">
        <f t="shared" si="3"/>
        <v>1697.2500000000002</v>
      </c>
      <c r="M227" t="s">
        <v>824</v>
      </c>
      <c r="N227">
        <v>1024</v>
      </c>
      <c r="O227" t="s">
        <v>825</v>
      </c>
      <c r="P227" t="str">
        <f>RIGHT(RIGHT(Table2[[#This Row],[last Updated]],12),4)</f>
        <v xml:space="preserve"> PDT</v>
      </c>
      <c r="Q227" t="s">
        <v>131</v>
      </c>
    </row>
    <row r="228" spans="1:17" x14ac:dyDescent="0.25">
      <c r="A228" t="s">
        <v>270</v>
      </c>
      <c r="B228" t="str">
        <f>UPPER(Table2[[#This Row],[Brand]])</f>
        <v>YVES SAINT LAURENT</v>
      </c>
      <c r="C228" t="str">
        <f>LOWER(Table2[[#This Row],[Brand]])</f>
        <v>yves saint laurent</v>
      </c>
      <c r="D228" t="str">
        <f>PROPER(Table2[[#This Row],[Brand]])</f>
        <v>Yves Saint Laurent</v>
      </c>
      <c r="E228" t="s">
        <v>32</v>
      </c>
      <c r="F228">
        <v>94.99</v>
      </c>
      <c r="G228" t="s">
        <v>826</v>
      </c>
      <c r="H22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$94.99</v>
      </c>
      <c r="I228" t="str">
        <f>LEFT(Table2[[#This Row],[priceWithCurrency]],3)</f>
        <v xml:space="preserve">US </v>
      </c>
      <c r="J228">
        <v>10</v>
      </c>
      <c r="K228" t="str">
        <f>IF(Table2[[#This Row],[Available]]&lt;=50, "Less Stock", "Required stock" )</f>
        <v>Less Stock</v>
      </c>
      <c r="L228">
        <f t="shared" si="3"/>
        <v>1697.2500000000002</v>
      </c>
      <c r="M228" t="s">
        <v>827</v>
      </c>
      <c r="N228">
        <v>581</v>
      </c>
      <c r="O228" t="s">
        <v>828</v>
      </c>
      <c r="P228" t="str">
        <f>RIGHT(RIGHT(Table2[[#This Row],[last Updated]],12),4)</f>
        <v xml:space="preserve"> PDT</v>
      </c>
      <c r="Q228" t="s">
        <v>89</v>
      </c>
    </row>
    <row r="229" spans="1:17" x14ac:dyDescent="0.25">
      <c r="A229" t="s">
        <v>270</v>
      </c>
      <c r="B229" t="str">
        <f>UPPER(Table2[[#This Row],[Brand]])</f>
        <v>YVES SAINT LAURENT</v>
      </c>
      <c r="C229" t="str">
        <f>LOWER(Table2[[#This Row],[Brand]])</f>
        <v>yves saint laurent</v>
      </c>
      <c r="D229" t="str">
        <f>PROPER(Table2[[#This Row],[Brand]])</f>
        <v>Yves Saint Laurent</v>
      </c>
      <c r="E229" t="s">
        <v>15</v>
      </c>
      <c r="F229">
        <v>70.66</v>
      </c>
      <c r="G229" t="s">
        <v>829</v>
      </c>
      <c r="H22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$70.66</v>
      </c>
      <c r="I229" t="str">
        <f>LEFT(Table2[[#This Row],[priceWithCurrency]],3)</f>
        <v xml:space="preserve">US </v>
      </c>
      <c r="J229">
        <v>199</v>
      </c>
      <c r="K229" t="str">
        <f>IF(Table2[[#This Row],[Available]]&lt;=50, "Less Stock", "Required stock" )</f>
        <v>Required stock</v>
      </c>
      <c r="L229">
        <f t="shared" si="3"/>
        <v>163.04</v>
      </c>
      <c r="M229" t="s">
        <v>830</v>
      </c>
      <c r="N229">
        <v>720</v>
      </c>
      <c r="O229" t="s">
        <v>831</v>
      </c>
      <c r="P229" t="str">
        <f>RIGHT(RIGHT(Table2[[#This Row],[last Updated]],12),4)</f>
        <v xml:space="preserve"> PDT</v>
      </c>
      <c r="Q229" t="s">
        <v>121</v>
      </c>
    </row>
    <row r="230" spans="1:17" x14ac:dyDescent="0.25">
      <c r="A230" t="s">
        <v>347</v>
      </c>
      <c r="B230" t="str">
        <f>UPPER(Table2[[#This Row],[Brand]])</f>
        <v>AS SHOWN</v>
      </c>
      <c r="C230" t="str">
        <f>LOWER(Table2[[#This Row],[Brand]])</f>
        <v>as shown</v>
      </c>
      <c r="D230" t="str">
        <f>PROPER(Table2[[#This Row],[Brand]])</f>
        <v>As Shown</v>
      </c>
      <c r="E230" t="s">
        <v>15</v>
      </c>
      <c r="F230">
        <v>52.99</v>
      </c>
      <c r="G230" t="s">
        <v>832</v>
      </c>
      <c r="H23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$52.99</v>
      </c>
      <c r="I230" t="str">
        <f>LEFT(Table2[[#This Row],[priceWithCurrency]],3)</f>
        <v xml:space="preserve">US </v>
      </c>
      <c r="J230">
        <v>5</v>
      </c>
      <c r="K230" t="str">
        <f>IF(Table2[[#This Row],[Available]]&lt;=50, "Less Stock", "Required stock" )</f>
        <v>Less Stock</v>
      </c>
      <c r="L230">
        <f t="shared" si="3"/>
        <v>1734.0600000000002</v>
      </c>
      <c r="M230" t="s">
        <v>833</v>
      </c>
      <c r="N230">
        <v>34</v>
      </c>
      <c r="O230" t="s">
        <v>834</v>
      </c>
      <c r="P230" t="str">
        <f>RIGHT(RIGHT(Table2[[#This Row],[last Updated]],12),4)</f>
        <v xml:space="preserve"> PDT</v>
      </c>
      <c r="Q230" t="s">
        <v>351</v>
      </c>
    </row>
    <row r="231" spans="1:17" x14ac:dyDescent="0.25">
      <c r="A231" t="s">
        <v>835</v>
      </c>
      <c r="B231" t="str">
        <f>UPPER(Table2[[#This Row],[Brand]])</f>
        <v>CHANEL</v>
      </c>
      <c r="C231" t="str">
        <f>LOWER(Table2[[#This Row],[Brand]])</f>
        <v>chanel</v>
      </c>
      <c r="D231" t="str">
        <f>PROPER(Table2[[#This Row],[Brand]])</f>
        <v>Chanel</v>
      </c>
      <c r="E231" t="s">
        <v>4</v>
      </c>
      <c r="F231">
        <v>129</v>
      </c>
      <c r="G231" t="s">
        <v>836</v>
      </c>
      <c r="H23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$129.00</v>
      </c>
      <c r="I231" t="str">
        <f>LEFT(Table2[[#This Row],[priceWithCurrency]],3)</f>
        <v xml:space="preserve">US </v>
      </c>
      <c r="J231">
        <v>3</v>
      </c>
      <c r="K231" t="str">
        <f>IF(Table2[[#This Row],[Available]]&lt;=50, "Less Stock", "Required stock" )</f>
        <v>Less Stock</v>
      </c>
      <c r="L231">
        <f t="shared" si="3"/>
        <v>326.61</v>
      </c>
      <c r="M231" t="s">
        <v>837</v>
      </c>
      <c r="N231">
        <v>11</v>
      </c>
      <c r="O231" t="s">
        <v>838</v>
      </c>
      <c r="P231" t="str">
        <f>RIGHT(RIGHT(Table2[[#This Row],[last Updated]],12),4)</f>
        <v xml:space="preserve"> PDT</v>
      </c>
      <c r="Q231" t="s">
        <v>36</v>
      </c>
    </row>
    <row r="232" spans="1:17" x14ac:dyDescent="0.25">
      <c r="A232" t="s">
        <v>543</v>
      </c>
      <c r="B232" t="str">
        <f>UPPER(Table2[[#This Row],[Brand]])</f>
        <v>JEAN PAUL GAULTIER</v>
      </c>
      <c r="C232" t="str">
        <f>LOWER(Table2[[#This Row],[Brand]])</f>
        <v>jean paul gaultier</v>
      </c>
      <c r="D232" t="str">
        <f>PROPER(Table2[[#This Row],[Brand]])</f>
        <v>Jean Paul Gaultier</v>
      </c>
      <c r="E232" t="s">
        <v>15</v>
      </c>
      <c r="F232">
        <v>51.99</v>
      </c>
      <c r="G232" t="s">
        <v>544</v>
      </c>
      <c r="H23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$51.99</v>
      </c>
      <c r="I232" t="str">
        <f>LEFT(Table2[[#This Row],[priceWithCurrency]],3)</f>
        <v xml:space="preserve">US </v>
      </c>
      <c r="J232">
        <v>10</v>
      </c>
      <c r="K232" t="str">
        <f>IF(Table2[[#This Row],[Available]]&lt;=50, "Less Stock", "Required stock" )</f>
        <v>Less Stock</v>
      </c>
      <c r="L232">
        <f t="shared" si="3"/>
        <v>326.61</v>
      </c>
      <c r="M232" t="s">
        <v>839</v>
      </c>
      <c r="N232">
        <v>248</v>
      </c>
      <c r="O232" t="s">
        <v>840</v>
      </c>
      <c r="P232" t="str">
        <f>RIGHT(RIGHT(Table2[[#This Row],[last Updated]],12),4)</f>
        <v xml:space="preserve"> PDT</v>
      </c>
      <c r="Q232" t="s">
        <v>406</v>
      </c>
    </row>
    <row r="233" spans="1:17" x14ac:dyDescent="0.25">
      <c r="A233" t="s">
        <v>352</v>
      </c>
      <c r="B233" t="str">
        <f>UPPER(Table2[[#This Row],[Brand]])</f>
        <v>ROJA</v>
      </c>
      <c r="C233" t="str">
        <f>LOWER(Table2[[#This Row],[Brand]])</f>
        <v>roja</v>
      </c>
      <c r="D233" t="str">
        <f>PROPER(Table2[[#This Row],[Brand]])</f>
        <v>Roja</v>
      </c>
      <c r="E233" t="s">
        <v>841</v>
      </c>
      <c r="F233">
        <v>202.95</v>
      </c>
      <c r="G233" t="s">
        <v>842</v>
      </c>
      <c r="H23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$202.95</v>
      </c>
      <c r="I233" t="str">
        <f>LEFT(Table2[[#This Row],[priceWithCurrency]],3)</f>
        <v xml:space="preserve">US </v>
      </c>
      <c r="J233">
        <v>2</v>
      </c>
      <c r="K233" t="str">
        <f>IF(Table2[[#This Row],[Available]]&lt;=50, "Less Stock", "Required stock" )</f>
        <v>Less Stock</v>
      </c>
      <c r="L233">
        <f t="shared" si="3"/>
        <v>64.94</v>
      </c>
      <c r="M233" t="s">
        <v>843</v>
      </c>
      <c r="N233">
        <v>18</v>
      </c>
      <c r="O233" t="s">
        <v>844</v>
      </c>
      <c r="P233" t="str">
        <f>RIGHT(RIGHT(Table2[[#This Row],[last Updated]],12),4)</f>
        <v xml:space="preserve"> PDT</v>
      </c>
      <c r="Q233" t="s">
        <v>226</v>
      </c>
    </row>
    <row r="234" spans="1:17" x14ac:dyDescent="0.25">
      <c r="A234" t="s">
        <v>37</v>
      </c>
      <c r="B234" t="str">
        <f>UPPER(Table2[[#This Row],[Brand]])</f>
        <v>MAISON ALHAMBRA</v>
      </c>
      <c r="C234" t="str">
        <f>LOWER(Table2[[#This Row],[Brand]])</f>
        <v>maison alhambra</v>
      </c>
      <c r="D234" t="str">
        <f>PROPER(Table2[[#This Row],[Brand]])</f>
        <v>Maison Alhambra</v>
      </c>
      <c r="E234" t="s">
        <v>26</v>
      </c>
      <c r="F234">
        <v>19.73</v>
      </c>
      <c r="G234" t="s">
        <v>174</v>
      </c>
      <c r="H23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$19.73</v>
      </c>
      <c r="I234" t="str">
        <f>LEFT(Table2[[#This Row],[priceWithCurrency]],3)</f>
        <v xml:space="preserve">US </v>
      </c>
      <c r="J234">
        <v>3</v>
      </c>
      <c r="K234" t="str">
        <f>IF(Table2[[#This Row],[Available]]&lt;=50, "Less Stock", "Required stock" )</f>
        <v>Less Stock</v>
      </c>
      <c r="L234">
        <f t="shared" si="3"/>
        <v>16.899999999999999</v>
      </c>
      <c r="M234" t="s">
        <v>730</v>
      </c>
      <c r="N234">
        <v>18</v>
      </c>
      <c r="O234" t="s">
        <v>845</v>
      </c>
      <c r="P234" t="str">
        <f>RIGHT(RIGHT(Table2[[#This Row],[last Updated]],12),4)</f>
        <v xml:space="preserve"> PDT</v>
      </c>
      <c r="Q234" t="s">
        <v>30</v>
      </c>
    </row>
    <row r="235" spans="1:17" x14ac:dyDescent="0.25">
      <c r="A235" t="s">
        <v>846</v>
      </c>
      <c r="B235" t="str">
        <f>UPPER(Table2[[#This Row],[Brand]])</f>
        <v>LALIQUE</v>
      </c>
      <c r="C235" t="str">
        <f>LOWER(Table2[[#This Row],[Brand]])</f>
        <v>lalique</v>
      </c>
      <c r="D235" t="str">
        <f>PROPER(Table2[[#This Row],[Brand]])</f>
        <v>Lalique</v>
      </c>
      <c r="E235" t="s">
        <v>276</v>
      </c>
      <c r="F235">
        <v>57.46</v>
      </c>
      <c r="G235" t="s">
        <v>847</v>
      </c>
      <c r="H23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$57.46</v>
      </c>
      <c r="I235" t="str">
        <f>LEFT(Table2[[#This Row],[priceWithCurrency]],3)</f>
        <v xml:space="preserve">US </v>
      </c>
      <c r="J235">
        <v>10</v>
      </c>
      <c r="K235" t="str">
        <f>IF(Table2[[#This Row],[Available]]&lt;=50, "Less Stock", "Required stock" )</f>
        <v>Less Stock</v>
      </c>
      <c r="L235">
        <f t="shared" si="3"/>
        <v>1841.8100000000004</v>
      </c>
      <c r="M235" t="s">
        <v>848</v>
      </c>
      <c r="N235">
        <v>202</v>
      </c>
      <c r="O235" t="s">
        <v>849</v>
      </c>
      <c r="P235" t="str">
        <f>RIGHT(RIGHT(Table2[[#This Row],[last Updated]],12),4)</f>
        <v xml:space="preserve"> PDT</v>
      </c>
      <c r="Q235" t="s">
        <v>226</v>
      </c>
    </row>
    <row r="236" spans="1:17" x14ac:dyDescent="0.25">
      <c r="A236" t="s">
        <v>543</v>
      </c>
      <c r="B236" t="str">
        <f>UPPER(Table2[[#This Row],[Brand]])</f>
        <v>JEAN PAUL GAULTIER</v>
      </c>
      <c r="C236" t="str">
        <f>LOWER(Table2[[#This Row],[Brand]])</f>
        <v>jean paul gaultier</v>
      </c>
      <c r="D236" t="str">
        <f>PROPER(Table2[[#This Row],[Brand]])</f>
        <v>Jean Paul Gaultier</v>
      </c>
      <c r="E236" t="s">
        <v>15</v>
      </c>
      <c r="F236">
        <v>45.49</v>
      </c>
      <c r="G236" t="s">
        <v>850</v>
      </c>
      <c r="H23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$45.49</v>
      </c>
      <c r="I236" t="str">
        <f>LEFT(Table2[[#This Row],[priceWithCurrency]],3)</f>
        <v xml:space="preserve">US </v>
      </c>
      <c r="J236">
        <v>2</v>
      </c>
      <c r="K236" t="str">
        <f>IF(Table2[[#This Row],[Available]]&lt;=50, "Less Stock", "Required stock" )</f>
        <v>Less Stock</v>
      </c>
      <c r="L236">
        <f t="shared" si="3"/>
        <v>966.40000000000009</v>
      </c>
      <c r="M236" t="s">
        <v>851</v>
      </c>
      <c r="N236">
        <v>116</v>
      </c>
      <c r="O236" t="s">
        <v>852</v>
      </c>
      <c r="P236" t="str">
        <f>RIGHT(RIGHT(Table2[[#This Row],[last Updated]],12),4)</f>
        <v xml:space="preserve"> PDT</v>
      </c>
      <c r="Q236" t="s">
        <v>853</v>
      </c>
    </row>
    <row r="237" spans="1:17" x14ac:dyDescent="0.25">
      <c r="A237" t="s">
        <v>143</v>
      </c>
      <c r="B237" t="str">
        <f>UPPER(Table2[[#This Row],[Brand]])</f>
        <v>PENHALIGON'S</v>
      </c>
      <c r="C237" t="str">
        <f>LOWER(Table2[[#This Row],[Brand]])</f>
        <v>penhaligon's</v>
      </c>
      <c r="D237" t="str">
        <f>PROPER(Table2[[#This Row],[Brand]])</f>
        <v>Penhaligon'S</v>
      </c>
      <c r="E237" t="s">
        <v>15</v>
      </c>
      <c r="F237">
        <v>55</v>
      </c>
      <c r="G237" t="s">
        <v>854</v>
      </c>
      <c r="H23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$55.00</v>
      </c>
      <c r="I237" t="str">
        <f>LEFT(Table2[[#This Row],[priceWithCurrency]],3)</f>
        <v xml:space="preserve">US </v>
      </c>
      <c r="J237">
        <v>4</v>
      </c>
      <c r="K237" t="str">
        <f>IF(Table2[[#This Row],[Available]]&lt;=50, "Less Stock", "Required stock" )</f>
        <v>Less Stock</v>
      </c>
      <c r="L237">
        <f t="shared" si="3"/>
        <v>1056.8400000000001</v>
      </c>
      <c r="M237" t="s">
        <v>855</v>
      </c>
      <c r="N237">
        <v>1</v>
      </c>
      <c r="O237" t="s">
        <v>856</v>
      </c>
      <c r="P237" t="str">
        <f>RIGHT(RIGHT(Table2[[#This Row],[last Updated]],12),4)</f>
        <v xml:space="preserve"> PDT</v>
      </c>
      <c r="Q237" t="s">
        <v>857</v>
      </c>
    </row>
    <row r="238" spans="1:17" x14ac:dyDescent="0.25">
      <c r="A238" t="s">
        <v>3</v>
      </c>
      <c r="B238" t="str">
        <f>UPPER(Table2[[#This Row],[Brand]])</f>
        <v>DIOR</v>
      </c>
      <c r="C238" t="str">
        <f>LOWER(Table2[[#This Row],[Brand]])</f>
        <v>dior</v>
      </c>
      <c r="D238" t="str">
        <f>PROPER(Table2[[#This Row],[Brand]])</f>
        <v>Dior</v>
      </c>
      <c r="E238" t="s">
        <v>15</v>
      </c>
      <c r="F238">
        <v>84.99</v>
      </c>
      <c r="G238" t="s">
        <v>5</v>
      </c>
      <c r="H23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$84.99</v>
      </c>
      <c r="I238" t="str">
        <f>LEFT(Table2[[#This Row],[priceWithCurrency]],3)</f>
        <v xml:space="preserve">US </v>
      </c>
      <c r="J238">
        <v>9</v>
      </c>
      <c r="K238" t="str">
        <f>IF(Table2[[#This Row],[Available]]&lt;=50, "Less Stock", "Required stock" )</f>
        <v>Less Stock</v>
      </c>
      <c r="L238">
        <f t="shared" si="3"/>
        <v>31.95</v>
      </c>
      <c r="M238" t="s">
        <v>858</v>
      </c>
      <c r="N238">
        <v>16</v>
      </c>
      <c r="O238" t="s">
        <v>859</v>
      </c>
      <c r="P238" t="str">
        <f>RIGHT(RIGHT(Table2[[#This Row],[last Updated]],12),4)</f>
        <v xml:space="preserve"> PDT</v>
      </c>
      <c r="Q238" t="s">
        <v>65</v>
      </c>
    </row>
    <row r="239" spans="1:17" x14ac:dyDescent="0.25">
      <c r="A239" t="s">
        <v>860</v>
      </c>
      <c r="B239" t="str">
        <f>UPPER(Table2[[#This Row],[Brand]])</f>
        <v>LIZ CLAIBORNE</v>
      </c>
      <c r="C239" t="str">
        <f>LOWER(Table2[[#This Row],[Brand]])</f>
        <v>liz claiborne</v>
      </c>
      <c r="D239" t="str">
        <f>PROPER(Table2[[#This Row],[Brand]])</f>
        <v>Liz Claiborne</v>
      </c>
      <c r="E239" t="s">
        <v>15</v>
      </c>
      <c r="F239">
        <v>27.03</v>
      </c>
      <c r="G239" t="s">
        <v>861</v>
      </c>
      <c r="H23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$27.03</v>
      </c>
      <c r="I239" t="str">
        <f>LEFT(Table2[[#This Row],[priceWithCurrency]],3)</f>
        <v xml:space="preserve">US </v>
      </c>
      <c r="J239">
        <v>101</v>
      </c>
      <c r="K239" t="str">
        <f>IF(Table2[[#This Row],[Available]]&lt;=50, "Less Stock", "Required stock" )</f>
        <v>Required stock</v>
      </c>
      <c r="L239">
        <f t="shared" si="3"/>
        <v>1811.5000000000002</v>
      </c>
      <c r="M239" t="s">
        <v>862</v>
      </c>
      <c r="N239">
        <v>1337</v>
      </c>
      <c r="O239" t="s">
        <v>863</v>
      </c>
      <c r="P239" t="str">
        <f>RIGHT(RIGHT(Table2[[#This Row],[last Updated]],12),4)</f>
        <v xml:space="preserve"> PDT</v>
      </c>
      <c r="Q239" t="s">
        <v>121</v>
      </c>
    </row>
    <row r="240" spans="1:17" x14ac:dyDescent="0.25">
      <c r="A240" t="s">
        <v>574</v>
      </c>
      <c r="B240" t="str">
        <f>UPPER(Table2[[#This Row],[Brand]])</f>
        <v>BVLGARI</v>
      </c>
      <c r="C240" t="str">
        <f>LOWER(Table2[[#This Row],[Brand]])</f>
        <v>bvlgari</v>
      </c>
      <c r="D240" t="str">
        <f>PROPER(Table2[[#This Row],[Brand]])</f>
        <v>Bvlgari</v>
      </c>
      <c r="E240" t="s">
        <v>15</v>
      </c>
      <c r="F240">
        <v>45.69</v>
      </c>
      <c r="G240" t="s">
        <v>864</v>
      </c>
      <c r="H24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$45.69</v>
      </c>
      <c r="I240" t="str">
        <f>LEFT(Table2[[#This Row],[priceWithCurrency]],3)</f>
        <v xml:space="preserve">US </v>
      </c>
      <c r="J240">
        <v>8</v>
      </c>
      <c r="K240" t="str">
        <f>IF(Table2[[#This Row],[Available]]&lt;=50, "Less Stock", "Required stock" )</f>
        <v>Less Stock</v>
      </c>
      <c r="L240">
        <f t="shared" si="3"/>
        <v>1074.7300000000002</v>
      </c>
      <c r="M240" t="s">
        <v>865</v>
      </c>
      <c r="N240">
        <v>31</v>
      </c>
      <c r="O240" t="s">
        <v>866</v>
      </c>
      <c r="P240" t="str">
        <f>RIGHT(RIGHT(Table2[[#This Row],[last Updated]],12),4)</f>
        <v xml:space="preserve"> PDT</v>
      </c>
      <c r="Q240" t="s">
        <v>867</v>
      </c>
    </row>
    <row r="241" spans="1:17" x14ac:dyDescent="0.25">
      <c r="A241" t="s">
        <v>14</v>
      </c>
      <c r="B241" t="str">
        <f>UPPER(Table2[[#This Row],[Brand]])</f>
        <v>UNBRANDED</v>
      </c>
      <c r="C241" t="str">
        <f>LOWER(Table2[[#This Row],[Brand]])</f>
        <v>unbranded</v>
      </c>
      <c r="D241" t="str">
        <f>PROPER(Table2[[#This Row],[Brand]])</f>
        <v>Unbranded</v>
      </c>
      <c r="E241" t="s">
        <v>32</v>
      </c>
      <c r="F241">
        <v>12.98</v>
      </c>
      <c r="G241" t="s">
        <v>868</v>
      </c>
      <c r="H24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$12.98</v>
      </c>
      <c r="I241" t="str">
        <f>LEFT(Table2[[#This Row],[priceWithCurrency]],3)</f>
        <v xml:space="preserve">US </v>
      </c>
      <c r="J241">
        <v>10</v>
      </c>
      <c r="K241" t="str">
        <f>IF(Table2[[#This Row],[Available]]&lt;=50, "Less Stock", "Required stock" )</f>
        <v>Less Stock</v>
      </c>
      <c r="L241">
        <f t="shared" si="3"/>
        <v>1824.4300000000003</v>
      </c>
      <c r="M241" t="s">
        <v>869</v>
      </c>
      <c r="N241">
        <v>103</v>
      </c>
      <c r="O241" t="s">
        <v>870</v>
      </c>
      <c r="P241" t="str">
        <f>RIGHT(RIGHT(Table2[[#This Row],[last Updated]],12),4)</f>
        <v xml:space="preserve"> PDT</v>
      </c>
      <c r="Q241" t="s">
        <v>259</v>
      </c>
    </row>
    <row r="242" spans="1:17" x14ac:dyDescent="0.25">
      <c r="A242" t="s">
        <v>871</v>
      </c>
      <c r="B242" t="str">
        <f>UPPER(Table2[[#This Row],[Brand]])</f>
        <v>BY AL HAMBRA</v>
      </c>
      <c r="C242" t="str">
        <f>LOWER(Table2[[#This Row],[Brand]])</f>
        <v>by al hambra</v>
      </c>
      <c r="D242" t="str">
        <f>PROPER(Table2[[#This Row],[Brand]])</f>
        <v>By Al Hambra</v>
      </c>
      <c r="E242" t="s">
        <v>4</v>
      </c>
      <c r="F242">
        <v>25.7</v>
      </c>
      <c r="G242" t="s">
        <v>872</v>
      </c>
      <c r="H24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$25.70</v>
      </c>
      <c r="I242" t="str">
        <f>LEFT(Table2[[#This Row],[priceWithCurrency]],3)</f>
        <v xml:space="preserve">US </v>
      </c>
      <c r="J242">
        <v>10</v>
      </c>
      <c r="K242" t="str">
        <f>IF(Table2[[#This Row],[Available]]&lt;=50, "Less Stock", "Required stock" )</f>
        <v>Less Stock</v>
      </c>
      <c r="L242">
        <f t="shared" si="3"/>
        <v>1824.4300000000003</v>
      </c>
      <c r="M242" t="s">
        <v>873</v>
      </c>
      <c r="N242">
        <v>72</v>
      </c>
      <c r="O242" t="s">
        <v>874</v>
      </c>
      <c r="P242" t="str">
        <f>RIGHT(RIGHT(Table2[[#This Row],[last Updated]],12),4)</f>
        <v xml:space="preserve"> PDT</v>
      </c>
      <c r="Q242" t="s">
        <v>480</v>
      </c>
    </row>
    <row r="243" spans="1:17" x14ac:dyDescent="0.25">
      <c r="A243" t="s">
        <v>20</v>
      </c>
      <c r="B243" t="str">
        <f>UPPER(Table2[[#This Row],[Brand]])</f>
        <v>GIORGIO ARMANI</v>
      </c>
      <c r="C243" t="str">
        <f>LOWER(Table2[[#This Row],[Brand]])</f>
        <v>giorgio armani</v>
      </c>
      <c r="D243" t="str">
        <f>PROPER(Table2[[#This Row],[Brand]])</f>
        <v>Giorgio Armani</v>
      </c>
      <c r="E243" t="s">
        <v>15</v>
      </c>
      <c r="F243">
        <v>45.99</v>
      </c>
      <c r="G243" t="s">
        <v>875</v>
      </c>
      <c r="H24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$45.99</v>
      </c>
      <c r="I243" t="str">
        <f>LEFT(Table2[[#This Row],[priceWithCurrency]],3)</f>
        <v xml:space="preserve">US </v>
      </c>
      <c r="K243" t="str">
        <f>IF(Table2[[#This Row],[Available]]&lt;=50, "Less Stock", "Required stock" )</f>
        <v>Less Stock</v>
      </c>
      <c r="L243">
        <f t="shared" si="3"/>
        <v>1092.4600000000003</v>
      </c>
      <c r="M243" t="s">
        <v>876</v>
      </c>
      <c r="N243">
        <v>101</v>
      </c>
      <c r="O243" t="s">
        <v>877</v>
      </c>
      <c r="P243" t="str">
        <f>RIGHT(RIGHT(Table2[[#This Row],[last Updated]],12),4)</f>
        <v xml:space="preserve"> PDT</v>
      </c>
      <c r="Q243" t="s">
        <v>342</v>
      </c>
    </row>
    <row r="244" spans="1:17" x14ac:dyDescent="0.25">
      <c r="A244" t="s">
        <v>79</v>
      </c>
      <c r="B244" t="str">
        <f>UPPER(Table2[[#This Row],[Brand]])</f>
        <v>PACO RABANNE</v>
      </c>
      <c r="C244" t="str">
        <f>LOWER(Table2[[#This Row],[Brand]])</f>
        <v>paco rabanne</v>
      </c>
      <c r="D244" t="str">
        <f>PROPER(Table2[[#This Row],[Brand]])</f>
        <v>Paco Rabanne</v>
      </c>
      <c r="E244" t="s">
        <v>15</v>
      </c>
      <c r="F244">
        <v>47.99</v>
      </c>
      <c r="G244" t="s">
        <v>878</v>
      </c>
      <c r="H24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$47.99</v>
      </c>
      <c r="I244" t="str">
        <f>LEFT(Table2[[#This Row],[priceWithCurrency]],3)</f>
        <v xml:space="preserve">US </v>
      </c>
      <c r="K244" t="str">
        <f>IF(Table2[[#This Row],[Available]]&lt;=50, "Less Stock", "Required stock" )</f>
        <v>Less Stock</v>
      </c>
      <c r="L244">
        <f t="shared" si="3"/>
        <v>1893.1700000000003</v>
      </c>
      <c r="M244" t="s">
        <v>879</v>
      </c>
      <c r="N244">
        <v>8877</v>
      </c>
      <c r="O244" t="s">
        <v>880</v>
      </c>
      <c r="P244" t="str">
        <f>RIGHT(RIGHT(Table2[[#This Row],[last Updated]],12),4)</f>
        <v xml:space="preserve"> PDT</v>
      </c>
      <c r="Q244" t="s">
        <v>108</v>
      </c>
    </row>
    <row r="245" spans="1:17" x14ac:dyDescent="0.25">
      <c r="A245" t="s">
        <v>208</v>
      </c>
      <c r="B245" t="str">
        <f>UPPER(Table2[[#This Row],[Brand]])</f>
        <v>POLO RALPH LAUREN</v>
      </c>
      <c r="C245" t="str">
        <f>LOWER(Table2[[#This Row],[Brand]])</f>
        <v>polo ralph lauren</v>
      </c>
      <c r="D245" t="str">
        <f>PROPER(Table2[[#This Row],[Brand]])</f>
        <v>Polo Ralph Lauren</v>
      </c>
      <c r="E245" t="s">
        <v>15</v>
      </c>
      <c r="F245">
        <v>32</v>
      </c>
      <c r="G245" t="s">
        <v>881</v>
      </c>
      <c r="H24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$32.00</v>
      </c>
      <c r="I245" t="str">
        <f>LEFT(Table2[[#This Row],[priceWithCurrency]],3)</f>
        <v xml:space="preserve">US </v>
      </c>
      <c r="J245">
        <v>4</v>
      </c>
      <c r="K245" t="str">
        <f>IF(Table2[[#This Row],[Available]]&lt;=50, "Less Stock", "Required stock" )</f>
        <v>Less Stock</v>
      </c>
      <c r="L245">
        <f t="shared" si="3"/>
        <v>81.990000000000009</v>
      </c>
      <c r="M245" t="s">
        <v>882</v>
      </c>
      <c r="N245">
        <v>445</v>
      </c>
      <c r="O245" t="s">
        <v>883</v>
      </c>
      <c r="P245" t="str">
        <f>RIGHT(RIGHT(Table2[[#This Row],[last Updated]],12),4)</f>
        <v xml:space="preserve"> PDT</v>
      </c>
      <c r="Q245" t="s">
        <v>884</v>
      </c>
    </row>
    <row r="246" spans="1:17" x14ac:dyDescent="0.25">
      <c r="A246" t="s">
        <v>885</v>
      </c>
      <c r="B246" t="str">
        <f>UPPER(Table2[[#This Row],[Brand]])</f>
        <v>JOOP</v>
      </c>
      <c r="C246" t="str">
        <f>LOWER(Table2[[#This Row],[Brand]])</f>
        <v>joop</v>
      </c>
      <c r="D246" t="str">
        <f>PROPER(Table2[[#This Row],[Brand]])</f>
        <v>Joop</v>
      </c>
      <c r="E246" t="s">
        <v>26</v>
      </c>
      <c r="F246">
        <v>38.53</v>
      </c>
      <c r="G246" t="s">
        <v>886</v>
      </c>
      <c r="H24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$38.53</v>
      </c>
      <c r="I246" t="str">
        <f>LEFT(Table2[[#This Row],[priceWithCurrency]],3)</f>
        <v xml:space="preserve">US </v>
      </c>
      <c r="J246">
        <v>3</v>
      </c>
      <c r="K246" t="str">
        <f>IF(Table2[[#This Row],[Available]]&lt;=50, "Less Stock", "Required stock" )</f>
        <v>Less Stock</v>
      </c>
      <c r="L246">
        <f t="shared" si="3"/>
        <v>39.04</v>
      </c>
      <c r="M246" t="s">
        <v>887</v>
      </c>
      <c r="N246">
        <v>33</v>
      </c>
      <c r="O246" t="s">
        <v>888</v>
      </c>
      <c r="P246" t="str">
        <f>RIGHT(RIGHT(Table2[[#This Row],[last Updated]],12),4)</f>
        <v xml:space="preserve"> PDT</v>
      </c>
      <c r="Q246" t="s">
        <v>30</v>
      </c>
    </row>
    <row r="247" spans="1:17" x14ac:dyDescent="0.25">
      <c r="A247" t="s">
        <v>76</v>
      </c>
      <c r="B247" t="str">
        <f>UPPER(Table2[[#This Row],[Brand]])</f>
        <v>VERSACE</v>
      </c>
      <c r="C247" t="str">
        <f>LOWER(Table2[[#This Row],[Brand]])</f>
        <v>versace</v>
      </c>
      <c r="D247" t="str">
        <f>PROPER(Table2[[#This Row],[Brand]])</f>
        <v>Versace</v>
      </c>
      <c r="E247" t="s">
        <v>15</v>
      </c>
      <c r="F247">
        <v>37.99</v>
      </c>
      <c r="G247" t="s">
        <v>86</v>
      </c>
      <c r="H24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$37.99</v>
      </c>
      <c r="I247" t="str">
        <f>LEFT(Table2[[#This Row],[priceWithCurrency]],3)</f>
        <v xml:space="preserve">US </v>
      </c>
      <c r="J247">
        <v>10</v>
      </c>
      <c r="K247" t="str">
        <f>IF(Table2[[#This Row],[Available]]&lt;=50, "Less Stock", "Required stock" )</f>
        <v>Less Stock</v>
      </c>
      <c r="L247">
        <f t="shared" si="3"/>
        <v>1769.1900000000003</v>
      </c>
      <c r="M247" t="s">
        <v>889</v>
      </c>
      <c r="N247">
        <v>26</v>
      </c>
      <c r="O247" t="s">
        <v>890</v>
      </c>
      <c r="P247" t="str">
        <f>RIGHT(RIGHT(Table2[[#This Row],[last Updated]],12),4)</f>
        <v xml:space="preserve"> PST</v>
      </c>
      <c r="Q247" t="s">
        <v>89</v>
      </c>
    </row>
    <row r="248" spans="1:17" x14ac:dyDescent="0.25">
      <c r="A248" t="s">
        <v>835</v>
      </c>
      <c r="B248" t="str">
        <f>UPPER(Table2[[#This Row],[Brand]])</f>
        <v>CHANEL</v>
      </c>
      <c r="C248" t="str">
        <f>LOWER(Table2[[#This Row],[Brand]])</f>
        <v>chanel</v>
      </c>
      <c r="D248" t="str">
        <f>PROPER(Table2[[#This Row],[Brand]])</f>
        <v>Chanel</v>
      </c>
      <c r="E248" t="s">
        <v>127</v>
      </c>
      <c r="F248">
        <v>13.89</v>
      </c>
      <c r="G248" t="s">
        <v>891</v>
      </c>
      <c r="H24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$13.89</v>
      </c>
      <c r="I248" t="str">
        <f>LEFT(Table2[[#This Row],[priceWithCurrency]],3)</f>
        <v xml:space="preserve">US </v>
      </c>
      <c r="J248">
        <v>3</v>
      </c>
      <c r="K248" t="str">
        <f>IF(Table2[[#This Row],[Available]]&lt;=50, "Less Stock", "Required stock" )</f>
        <v>Less Stock</v>
      </c>
      <c r="L248">
        <f t="shared" si="3"/>
        <v>1222.1000000000004</v>
      </c>
      <c r="M248" t="s">
        <v>892</v>
      </c>
      <c r="N248">
        <v>239</v>
      </c>
      <c r="O248" t="s">
        <v>893</v>
      </c>
      <c r="P248" t="str">
        <f>RIGHT(RIGHT(Table2[[#This Row],[last Updated]],12),4)</f>
        <v xml:space="preserve"> PDT</v>
      </c>
      <c r="Q248" t="s">
        <v>894</v>
      </c>
    </row>
    <row r="249" spans="1:17" x14ac:dyDescent="0.25">
      <c r="A249" t="s">
        <v>895</v>
      </c>
      <c r="B249" t="str">
        <f>UPPER(Table2[[#This Row],[Brand]])</f>
        <v>AS SHOWN</v>
      </c>
      <c r="C249" t="str">
        <f>LOWER(Table2[[#This Row],[Brand]])</f>
        <v>as shown</v>
      </c>
      <c r="D249" t="str">
        <f>PROPER(Table2[[#This Row],[Brand]])</f>
        <v>As Shown</v>
      </c>
      <c r="E249" t="s">
        <v>15</v>
      </c>
      <c r="F249">
        <v>49.99</v>
      </c>
      <c r="G249" t="s">
        <v>114</v>
      </c>
      <c r="H24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$49.99</v>
      </c>
      <c r="I249" t="str">
        <f>LEFT(Table2[[#This Row],[priceWithCurrency]],3)</f>
        <v xml:space="preserve">US </v>
      </c>
      <c r="J249">
        <v>5</v>
      </c>
      <c r="K249" t="str">
        <f>IF(Table2[[#This Row],[Available]]&lt;=50, "Less Stock", "Required stock" )</f>
        <v>Less Stock</v>
      </c>
      <c r="L249">
        <f t="shared" si="3"/>
        <v>1222.1000000000004</v>
      </c>
      <c r="M249" t="s">
        <v>896</v>
      </c>
      <c r="N249">
        <v>24</v>
      </c>
      <c r="O249" t="s">
        <v>897</v>
      </c>
      <c r="P249" t="str">
        <f>RIGHT(RIGHT(Table2[[#This Row],[last Updated]],12),4)</f>
        <v xml:space="preserve"> PDT</v>
      </c>
      <c r="Q249" t="s">
        <v>898</v>
      </c>
    </row>
    <row r="250" spans="1:17" x14ac:dyDescent="0.25">
      <c r="A250" t="s">
        <v>899</v>
      </c>
      <c r="B250" t="str">
        <f>UPPER(Table2[[#This Row],[Brand]])</f>
        <v>TED LAPIDUS</v>
      </c>
      <c r="C250" t="str">
        <f>LOWER(Table2[[#This Row],[Brand]])</f>
        <v>ted lapidus</v>
      </c>
      <c r="D250" t="str">
        <f>PROPER(Table2[[#This Row],[Brand]])</f>
        <v>Ted Lapidus</v>
      </c>
      <c r="E250" t="s">
        <v>26</v>
      </c>
      <c r="F250">
        <v>28.65</v>
      </c>
      <c r="G250" t="s">
        <v>900</v>
      </c>
      <c r="H25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$28.65</v>
      </c>
      <c r="I250" t="str">
        <f>LEFT(Table2[[#This Row],[priceWithCurrency]],3)</f>
        <v xml:space="preserve">US </v>
      </c>
      <c r="J250">
        <v>3</v>
      </c>
      <c r="K250" t="str">
        <f>IF(Table2[[#This Row],[Available]]&lt;=50, "Less Stock", "Required stock" )</f>
        <v>Less Stock</v>
      </c>
      <c r="L250">
        <f t="shared" si="3"/>
        <v>1626.3100000000002</v>
      </c>
      <c r="M250" t="s">
        <v>635</v>
      </c>
      <c r="N250">
        <v>9</v>
      </c>
      <c r="O250" t="s">
        <v>901</v>
      </c>
      <c r="P250" t="str">
        <f>RIGHT(RIGHT(Table2[[#This Row],[last Updated]],12),4)</f>
        <v xml:space="preserve"> PDT</v>
      </c>
      <c r="Q250" t="s">
        <v>30</v>
      </c>
    </row>
    <row r="251" spans="1:17" x14ac:dyDescent="0.25">
      <c r="A251" t="s">
        <v>500</v>
      </c>
      <c r="B251" t="str">
        <f>UPPER(Table2[[#This Row],[Brand]])</f>
        <v>DOSSIER</v>
      </c>
      <c r="C251" t="str">
        <f>LOWER(Table2[[#This Row],[Brand]])</f>
        <v>dossier</v>
      </c>
      <c r="D251" t="str">
        <f>PROPER(Table2[[#This Row],[Brand]])</f>
        <v>Dossier</v>
      </c>
      <c r="E251" t="s">
        <v>4</v>
      </c>
      <c r="F251">
        <v>29</v>
      </c>
      <c r="G251" t="s">
        <v>739</v>
      </c>
      <c r="H25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$29.00</v>
      </c>
      <c r="I251" t="str">
        <f>LEFT(Table2[[#This Row],[priceWithCurrency]],3)</f>
        <v xml:space="preserve">US </v>
      </c>
      <c r="K251" t="str">
        <f>IF(Table2[[#This Row],[Available]]&lt;=50, "Less Stock", "Required stock" )</f>
        <v>Less Stock</v>
      </c>
      <c r="L251">
        <f t="shared" si="3"/>
        <v>1222.1000000000004</v>
      </c>
      <c r="M251" t="s">
        <v>902</v>
      </c>
      <c r="N251">
        <v>19</v>
      </c>
      <c r="O251" t="s">
        <v>903</v>
      </c>
      <c r="P251" t="str">
        <f>RIGHT(RIGHT(Table2[[#This Row],[last Updated]],12),4)</f>
        <v xml:space="preserve"> PDT</v>
      </c>
      <c r="Q251" t="s">
        <v>503</v>
      </c>
    </row>
    <row r="252" spans="1:17" x14ac:dyDescent="0.25">
      <c r="A252" t="s">
        <v>9</v>
      </c>
      <c r="B252" t="str">
        <f>UPPER(Table2[[#This Row],[Brand]])</f>
        <v>AS SHOW</v>
      </c>
      <c r="C252" t="str">
        <f>LOWER(Table2[[#This Row],[Brand]])</f>
        <v>as show</v>
      </c>
      <c r="D252" t="str">
        <f>PROPER(Table2[[#This Row],[Brand]])</f>
        <v>As Show</v>
      </c>
      <c r="E252" t="s">
        <v>15</v>
      </c>
      <c r="F252">
        <v>35.99</v>
      </c>
      <c r="G252" t="s">
        <v>122</v>
      </c>
      <c r="H25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$35.99</v>
      </c>
      <c r="I252" t="str">
        <f>LEFT(Table2[[#This Row],[priceWithCurrency]],3)</f>
        <v xml:space="preserve">US </v>
      </c>
      <c r="J252">
        <v>10</v>
      </c>
      <c r="K252" t="str">
        <f>IF(Table2[[#This Row],[Available]]&lt;=50, "Less Stock", "Required stock" )</f>
        <v>Less Stock</v>
      </c>
      <c r="L252">
        <f t="shared" si="3"/>
        <v>1206.1100000000004</v>
      </c>
      <c r="M252" t="s">
        <v>904</v>
      </c>
      <c r="N252">
        <v>51</v>
      </c>
      <c r="O252" t="s">
        <v>905</v>
      </c>
      <c r="P252" t="str">
        <f>RIGHT(RIGHT(Table2[[#This Row],[last Updated]],12),4)</f>
        <v xml:space="preserve"> PDT</v>
      </c>
      <c r="Q252" t="s">
        <v>142</v>
      </c>
    </row>
    <row r="253" spans="1:17" x14ac:dyDescent="0.25">
      <c r="A253" t="s">
        <v>79</v>
      </c>
      <c r="B253" t="str">
        <f>UPPER(Table2[[#This Row],[Brand]])</f>
        <v>PACO RABANNE</v>
      </c>
      <c r="C253" t="str">
        <f>LOWER(Table2[[#This Row],[Brand]])</f>
        <v>paco rabanne</v>
      </c>
      <c r="D253" t="str">
        <f>PROPER(Table2[[#This Row],[Brand]])</f>
        <v>Paco Rabanne</v>
      </c>
      <c r="E253" t="s">
        <v>15</v>
      </c>
      <c r="F253">
        <v>39.99</v>
      </c>
      <c r="G253" t="s">
        <v>96</v>
      </c>
      <c r="H25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$39.99</v>
      </c>
      <c r="I253" t="str">
        <f>LEFT(Table2[[#This Row],[priceWithCurrency]],3)</f>
        <v xml:space="preserve">US </v>
      </c>
      <c r="J253">
        <v>10</v>
      </c>
      <c r="K253" t="str">
        <f>IF(Table2[[#This Row],[Available]]&lt;=50, "Less Stock", "Required stock" )</f>
        <v>Less Stock</v>
      </c>
      <c r="L253">
        <f t="shared" si="3"/>
        <v>1206.1100000000004</v>
      </c>
      <c r="M253" t="s">
        <v>474</v>
      </c>
      <c r="N253">
        <v>16</v>
      </c>
      <c r="O253" t="s">
        <v>906</v>
      </c>
      <c r="P253" t="str">
        <f>RIGHT(RIGHT(Table2[[#This Row],[last Updated]],12),4)</f>
        <v xml:space="preserve"> PDT</v>
      </c>
      <c r="Q253" t="s">
        <v>60</v>
      </c>
    </row>
    <row r="254" spans="1:17" x14ac:dyDescent="0.25">
      <c r="A254" t="s">
        <v>56</v>
      </c>
      <c r="B254" t="str">
        <f>UPPER(Table2[[#This Row],[Brand]])</f>
        <v>RALPH LAUREN</v>
      </c>
      <c r="C254" t="str">
        <f>LOWER(Table2[[#This Row],[Brand]])</f>
        <v>ralph lauren</v>
      </c>
      <c r="D254" t="str">
        <f>PROPER(Table2[[#This Row],[Brand]])</f>
        <v>Ralph Lauren</v>
      </c>
      <c r="E254" t="s">
        <v>15</v>
      </c>
      <c r="F254">
        <v>31.99</v>
      </c>
      <c r="G254" t="s">
        <v>809</v>
      </c>
      <c r="H25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$31.99</v>
      </c>
      <c r="I254" t="str">
        <f>LEFT(Table2[[#This Row],[priceWithCurrency]],3)</f>
        <v xml:space="preserve">US </v>
      </c>
      <c r="J254">
        <v>6</v>
      </c>
      <c r="K254" t="str">
        <f>IF(Table2[[#This Row],[Available]]&lt;=50, "Less Stock", "Required stock" )</f>
        <v>Less Stock</v>
      </c>
      <c r="L254">
        <f t="shared" si="3"/>
        <v>1206.1100000000004</v>
      </c>
      <c r="M254" t="s">
        <v>907</v>
      </c>
      <c r="N254">
        <v>44</v>
      </c>
      <c r="O254" t="s">
        <v>908</v>
      </c>
      <c r="P254" t="str">
        <f>RIGHT(RIGHT(Table2[[#This Row],[last Updated]],12),4)</f>
        <v xml:space="preserve"> PDT</v>
      </c>
      <c r="Q254" t="s">
        <v>19</v>
      </c>
    </row>
    <row r="255" spans="1:17" x14ac:dyDescent="0.25">
      <c r="A255" t="s">
        <v>76</v>
      </c>
      <c r="B255" t="str">
        <f>UPPER(Table2[[#This Row],[Brand]])</f>
        <v>VERSACE</v>
      </c>
      <c r="C255" t="str">
        <f>LOWER(Table2[[#This Row],[Brand]])</f>
        <v>versace</v>
      </c>
      <c r="D255" t="str">
        <f>PROPER(Table2[[#This Row],[Brand]])</f>
        <v>Versace</v>
      </c>
      <c r="E255" t="s">
        <v>4</v>
      </c>
      <c r="F255">
        <v>36.99</v>
      </c>
      <c r="G255" t="s">
        <v>909</v>
      </c>
      <c r="H25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$36.99</v>
      </c>
      <c r="I255" t="str">
        <f>LEFT(Table2[[#This Row],[priceWithCurrency]],3)</f>
        <v xml:space="preserve">US </v>
      </c>
      <c r="J255">
        <v>9</v>
      </c>
      <c r="K255" t="str">
        <f>IF(Table2[[#This Row],[Available]]&lt;=50, "Less Stock", "Required stock" )</f>
        <v>Less Stock</v>
      </c>
      <c r="L255">
        <f t="shared" si="3"/>
        <v>1216.0900000000004</v>
      </c>
      <c r="M255" t="s">
        <v>910</v>
      </c>
      <c r="N255">
        <v>37</v>
      </c>
      <c r="O255" t="s">
        <v>911</v>
      </c>
      <c r="P255" t="str">
        <f>RIGHT(RIGHT(Table2[[#This Row],[last Updated]],12),4)</f>
        <v xml:space="preserve"> PDT</v>
      </c>
      <c r="Q255" t="s">
        <v>912</v>
      </c>
    </row>
    <row r="256" spans="1:17" x14ac:dyDescent="0.25">
      <c r="A256" t="s">
        <v>14</v>
      </c>
      <c r="B256" t="str">
        <f>UPPER(Table2[[#This Row],[Brand]])</f>
        <v>UNBRANDED</v>
      </c>
      <c r="C256" t="str">
        <f>LOWER(Table2[[#This Row],[Brand]])</f>
        <v>unbranded</v>
      </c>
      <c r="D256" t="str">
        <f>PROPER(Table2[[#This Row],[Brand]])</f>
        <v>Unbranded</v>
      </c>
      <c r="E256" t="s">
        <v>4</v>
      </c>
      <c r="F256">
        <v>54.99</v>
      </c>
      <c r="G256" t="s">
        <v>185</v>
      </c>
      <c r="H25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$54.99</v>
      </c>
      <c r="I256" t="str">
        <f>LEFT(Table2[[#This Row],[priceWithCurrency]],3)</f>
        <v xml:space="preserve">US </v>
      </c>
      <c r="J256">
        <v>2</v>
      </c>
      <c r="K256" t="str">
        <f>IF(Table2[[#This Row],[Available]]&lt;=50, "Less Stock", "Required stock" )</f>
        <v>Less Stock</v>
      </c>
      <c r="L256">
        <f t="shared" si="3"/>
        <v>313.60000000000002</v>
      </c>
      <c r="M256" t="s">
        <v>760</v>
      </c>
      <c r="N256">
        <v>6</v>
      </c>
      <c r="O256" t="s">
        <v>913</v>
      </c>
      <c r="P256" t="str">
        <f>RIGHT(RIGHT(Table2[[#This Row],[last Updated]],12),4)</f>
        <v xml:space="preserve"> PDT</v>
      </c>
      <c r="Q256" t="s">
        <v>503</v>
      </c>
    </row>
    <row r="257" spans="1:17" x14ac:dyDescent="0.25">
      <c r="A257" t="s">
        <v>14</v>
      </c>
      <c r="B257" t="str">
        <f>UPPER(Table2[[#This Row],[Brand]])</f>
        <v>UNBRANDED</v>
      </c>
      <c r="C257" t="str">
        <f>LOWER(Table2[[#This Row],[Brand]])</f>
        <v>unbranded</v>
      </c>
      <c r="D257" t="str">
        <f>PROPER(Table2[[#This Row],[Brand]])</f>
        <v>Unbranded</v>
      </c>
      <c r="E257" t="s">
        <v>914</v>
      </c>
      <c r="F257">
        <v>15.99</v>
      </c>
      <c r="G257" t="s">
        <v>67</v>
      </c>
      <c r="H25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$15.99</v>
      </c>
      <c r="I257" t="str">
        <f>LEFT(Table2[[#This Row],[priceWithCurrency]],3)</f>
        <v xml:space="preserve">US </v>
      </c>
      <c r="J257">
        <v>10</v>
      </c>
      <c r="K257" t="str">
        <f>IF(Table2[[#This Row],[Available]]&lt;=50, "Less Stock", "Required stock" )</f>
        <v>Less Stock</v>
      </c>
      <c r="L257">
        <f t="shared" si="3"/>
        <v>1840.64</v>
      </c>
      <c r="M257" t="s">
        <v>915</v>
      </c>
      <c r="N257">
        <v>62</v>
      </c>
      <c r="O257" t="s">
        <v>916</v>
      </c>
      <c r="P257" t="str">
        <f>RIGHT(RIGHT(Table2[[#This Row],[last Updated]],12),4)</f>
        <v xml:space="preserve"> PDT</v>
      </c>
      <c r="Q257" t="s">
        <v>503</v>
      </c>
    </row>
    <row r="258" spans="1:17" x14ac:dyDescent="0.25">
      <c r="A258" t="s">
        <v>79</v>
      </c>
      <c r="B258" t="str">
        <f>UPPER(Table2[[#This Row],[Brand]])</f>
        <v>PACO RABANNE</v>
      </c>
      <c r="C258" t="str">
        <f>LOWER(Table2[[#This Row],[Brand]])</f>
        <v>paco rabanne</v>
      </c>
      <c r="D258" t="str">
        <f>PROPER(Table2[[#This Row],[Brand]])</f>
        <v>Paco Rabanne</v>
      </c>
      <c r="E258" t="s">
        <v>15</v>
      </c>
      <c r="F258">
        <v>39.99</v>
      </c>
      <c r="G258" t="s">
        <v>96</v>
      </c>
      <c r="H25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$39.99</v>
      </c>
      <c r="I258" t="str">
        <f>LEFT(Table2[[#This Row],[priceWithCurrency]],3)</f>
        <v xml:space="preserve">US </v>
      </c>
      <c r="J258">
        <v>10</v>
      </c>
      <c r="K258" t="str">
        <f>IF(Table2[[#This Row],[Available]]&lt;=50, "Less Stock", "Required stock" )</f>
        <v>Less Stock</v>
      </c>
      <c r="L258">
        <f t="shared" ref="L258:L321" si="4">SUMIF(E258:E338,E302,F302:F1257)</f>
        <v>313.60000000000002</v>
      </c>
      <c r="M258" t="s">
        <v>917</v>
      </c>
      <c r="N258">
        <v>118</v>
      </c>
      <c r="O258" t="s">
        <v>918</v>
      </c>
      <c r="P258" t="str">
        <f>RIGHT(RIGHT(Table2[[#This Row],[last Updated]],12),4)</f>
        <v xml:space="preserve"> PDT</v>
      </c>
      <c r="Q258" t="s">
        <v>919</v>
      </c>
    </row>
    <row r="259" spans="1:17" x14ac:dyDescent="0.25">
      <c r="A259" t="s">
        <v>104</v>
      </c>
      <c r="B259" t="str">
        <f>UPPER(Table2[[#This Row],[Brand]])</f>
        <v>DOLCE &amp; GABBANA</v>
      </c>
      <c r="C259" t="str">
        <f>LOWER(Table2[[#This Row],[Brand]])</f>
        <v>dolce &amp; gabbana</v>
      </c>
      <c r="D259" t="str">
        <f>PROPER(Table2[[#This Row],[Brand]])</f>
        <v>Dolce &amp; Gabbana</v>
      </c>
      <c r="E259" t="s">
        <v>276</v>
      </c>
      <c r="F259">
        <v>69.02</v>
      </c>
      <c r="G259" t="s">
        <v>920</v>
      </c>
      <c r="H25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$69.02</v>
      </c>
      <c r="I259" t="str">
        <f>LEFT(Table2[[#This Row],[priceWithCurrency]],3)</f>
        <v xml:space="preserve">US </v>
      </c>
      <c r="J259">
        <v>10</v>
      </c>
      <c r="K259" t="str">
        <f>IF(Table2[[#This Row],[Available]]&lt;=50, "Less Stock", "Required stock" )</f>
        <v>Less Stock</v>
      </c>
      <c r="L259">
        <f t="shared" si="4"/>
        <v>1833.8600000000004</v>
      </c>
      <c r="M259" t="s">
        <v>921</v>
      </c>
      <c r="N259">
        <v>370</v>
      </c>
      <c r="O259" t="s">
        <v>922</v>
      </c>
      <c r="P259" t="str">
        <f>RIGHT(RIGHT(Table2[[#This Row],[last Updated]],12),4)</f>
        <v xml:space="preserve"> PDT</v>
      </c>
      <c r="Q259" t="s">
        <v>226</v>
      </c>
    </row>
    <row r="260" spans="1:17" x14ac:dyDescent="0.25">
      <c r="A260" t="s">
        <v>500</v>
      </c>
      <c r="B260" t="str">
        <f>UPPER(Table2[[#This Row],[Brand]])</f>
        <v>DOSSIER</v>
      </c>
      <c r="C260" t="str">
        <f>LOWER(Table2[[#This Row],[Brand]])</f>
        <v>dossier</v>
      </c>
      <c r="D260" t="str">
        <f>PROPER(Table2[[#This Row],[Brand]])</f>
        <v>Dossier</v>
      </c>
      <c r="E260" t="s">
        <v>4</v>
      </c>
      <c r="F260">
        <v>22.99</v>
      </c>
      <c r="G260" t="s">
        <v>923</v>
      </c>
      <c r="H26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$22.99</v>
      </c>
      <c r="I260" t="str">
        <f>LEFT(Table2[[#This Row],[priceWithCurrency]],3)</f>
        <v xml:space="preserve">US </v>
      </c>
      <c r="J260">
        <v>10</v>
      </c>
      <c r="K260" t="str">
        <f>IF(Table2[[#This Row],[Available]]&lt;=50, "Less Stock", "Required stock" )</f>
        <v>Less Stock</v>
      </c>
      <c r="L260">
        <f t="shared" si="4"/>
        <v>126.99000000000001</v>
      </c>
      <c r="M260" t="s">
        <v>924</v>
      </c>
      <c r="N260">
        <v>52</v>
      </c>
      <c r="O260" t="s">
        <v>925</v>
      </c>
      <c r="P260" t="str">
        <f>RIGHT(RIGHT(Table2[[#This Row],[last Updated]],12),4)</f>
        <v xml:space="preserve"> PDT</v>
      </c>
      <c r="Q260" t="s">
        <v>926</v>
      </c>
    </row>
    <row r="261" spans="1:17" x14ac:dyDescent="0.25">
      <c r="A261" t="s">
        <v>927</v>
      </c>
      <c r="B261" t="str">
        <f>UPPER(Table2[[#This Row],[Brand]])</f>
        <v>AXE</v>
      </c>
      <c r="C261" t="str">
        <f>LOWER(Table2[[#This Row],[Brand]])</f>
        <v>axe</v>
      </c>
      <c r="D261" t="str">
        <f>PROPER(Table2[[#This Row],[Brand]])</f>
        <v>Axe</v>
      </c>
      <c r="E261" t="s">
        <v>928</v>
      </c>
      <c r="F261">
        <v>11.99</v>
      </c>
      <c r="G261" t="s">
        <v>929</v>
      </c>
      <c r="H26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$11.99</v>
      </c>
      <c r="I261" t="str">
        <f>LEFT(Table2[[#This Row],[priceWithCurrency]],3)</f>
        <v xml:space="preserve">US </v>
      </c>
      <c r="J261">
        <v>5</v>
      </c>
      <c r="K261" t="str">
        <f>IF(Table2[[#This Row],[Available]]&lt;=50, "Less Stock", "Required stock" )</f>
        <v>Less Stock</v>
      </c>
      <c r="L261">
        <f t="shared" si="4"/>
        <v>1148.0600000000002</v>
      </c>
      <c r="M261" t="s">
        <v>930</v>
      </c>
      <c r="N261">
        <v>15</v>
      </c>
      <c r="O261" t="s">
        <v>931</v>
      </c>
      <c r="P261" t="str">
        <f>RIGHT(RIGHT(Table2[[#This Row],[last Updated]],12),4)</f>
        <v xml:space="preserve"> PDT</v>
      </c>
      <c r="Q261" t="s">
        <v>932</v>
      </c>
    </row>
    <row r="262" spans="1:17" x14ac:dyDescent="0.25">
      <c r="A262" t="s">
        <v>61</v>
      </c>
      <c r="B262" t="str">
        <f>UPPER(Table2[[#This Row],[Brand]])</f>
        <v>DOLCE&amp;GABBANA</v>
      </c>
      <c r="C262" t="str">
        <f>LOWER(Table2[[#This Row],[Brand]])</f>
        <v>dolce&amp;gabbana</v>
      </c>
      <c r="D262" t="str">
        <f>PROPER(Table2[[#This Row],[Brand]])</f>
        <v>Dolce&amp;Gabbana</v>
      </c>
      <c r="E262" t="s">
        <v>15</v>
      </c>
      <c r="F262">
        <v>29.99</v>
      </c>
      <c r="G262" t="s">
        <v>91</v>
      </c>
      <c r="H26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$29.99</v>
      </c>
      <c r="I262" t="str">
        <f>LEFT(Table2[[#This Row],[priceWithCurrency]],3)</f>
        <v xml:space="preserve">US </v>
      </c>
      <c r="J262">
        <v>7</v>
      </c>
      <c r="K262" t="str">
        <f>IF(Table2[[#This Row],[Available]]&lt;=50, "Less Stock", "Required stock" )</f>
        <v>Less Stock</v>
      </c>
      <c r="L262">
        <f t="shared" si="4"/>
        <v>1148.0600000000002</v>
      </c>
      <c r="M262" t="s">
        <v>933</v>
      </c>
      <c r="N262">
        <v>51</v>
      </c>
      <c r="O262" t="s">
        <v>934</v>
      </c>
      <c r="P262" t="str">
        <f>RIGHT(RIGHT(Table2[[#This Row],[last Updated]],12),4)</f>
        <v xml:space="preserve"> PDT</v>
      </c>
      <c r="Q262" t="s">
        <v>55</v>
      </c>
    </row>
    <row r="263" spans="1:17" x14ac:dyDescent="0.25">
      <c r="A263" t="s">
        <v>126</v>
      </c>
      <c r="B263" t="str">
        <f>UPPER(Table2[[#This Row],[Brand]])</f>
        <v>AZZARO</v>
      </c>
      <c r="C263" t="str">
        <f>LOWER(Table2[[#This Row],[Brand]])</f>
        <v>azzaro</v>
      </c>
      <c r="D263" t="str">
        <f>PROPER(Table2[[#This Row],[Brand]])</f>
        <v>Azzaro</v>
      </c>
      <c r="E263" t="s">
        <v>15</v>
      </c>
      <c r="F263">
        <v>18.100000000000001</v>
      </c>
      <c r="G263" t="s">
        <v>935</v>
      </c>
      <c r="H26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$18.10</v>
      </c>
      <c r="I263" t="str">
        <f>LEFT(Table2[[#This Row],[priceWithCurrency]],3)</f>
        <v xml:space="preserve">US </v>
      </c>
      <c r="J263">
        <v>84</v>
      </c>
      <c r="K263" t="str">
        <f>IF(Table2[[#This Row],[Available]]&lt;=50, "Less Stock", "Required stock" )</f>
        <v>Required stock</v>
      </c>
      <c r="L263">
        <f t="shared" si="4"/>
        <v>1844.5300000000002</v>
      </c>
      <c r="M263" t="s">
        <v>936</v>
      </c>
      <c r="N263">
        <v>210</v>
      </c>
      <c r="O263" t="s">
        <v>937</v>
      </c>
      <c r="P263" t="str">
        <f>RIGHT(RIGHT(Table2[[#This Row],[last Updated]],12),4)</f>
        <v xml:space="preserve"> PDT</v>
      </c>
      <c r="Q263" t="s">
        <v>121</v>
      </c>
    </row>
    <row r="264" spans="1:17" x14ac:dyDescent="0.25">
      <c r="A264" t="s">
        <v>180</v>
      </c>
      <c r="B264" t="str">
        <f>UPPER(Table2[[#This Row],[Brand]])</f>
        <v>CALVIN KLEIN</v>
      </c>
      <c r="C264" t="str">
        <f>LOWER(Table2[[#This Row],[Brand]])</f>
        <v>calvin klein</v>
      </c>
      <c r="D264" t="str">
        <f>PROPER(Table2[[#This Row],[Brand]])</f>
        <v>Calvin Klein</v>
      </c>
      <c r="E264" t="s">
        <v>15</v>
      </c>
      <c r="F264">
        <v>28.99</v>
      </c>
      <c r="G264" t="s">
        <v>597</v>
      </c>
      <c r="H26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$28.99</v>
      </c>
      <c r="I264" t="str">
        <f>LEFT(Table2[[#This Row],[priceWithCurrency]],3)</f>
        <v xml:space="preserve">US </v>
      </c>
      <c r="J264">
        <v>10</v>
      </c>
      <c r="K264" t="str">
        <f>IF(Table2[[#This Row],[Available]]&lt;=50, "Less Stock", "Required stock" )</f>
        <v>Less Stock</v>
      </c>
      <c r="L264">
        <f t="shared" si="4"/>
        <v>1148.0600000000002</v>
      </c>
      <c r="M264" t="s">
        <v>938</v>
      </c>
      <c r="N264">
        <v>124</v>
      </c>
      <c r="O264" t="s">
        <v>939</v>
      </c>
      <c r="P264" t="str">
        <f>RIGHT(RIGHT(Table2[[#This Row],[last Updated]],12),4)</f>
        <v xml:space="preserve"> PDT</v>
      </c>
      <c r="Q264" t="s">
        <v>226</v>
      </c>
    </row>
    <row r="265" spans="1:17" x14ac:dyDescent="0.25">
      <c r="A265" t="s">
        <v>270</v>
      </c>
      <c r="B265" t="str">
        <f>UPPER(Table2[[#This Row],[Brand]])</f>
        <v>YVES SAINT LAURENT</v>
      </c>
      <c r="C265" t="str">
        <f>LOWER(Table2[[#This Row],[Brand]])</f>
        <v>yves saint laurent</v>
      </c>
      <c r="D265" t="str">
        <f>PROPER(Table2[[#This Row],[Brand]])</f>
        <v>Yves Saint Laurent</v>
      </c>
      <c r="E265" t="s">
        <v>15</v>
      </c>
      <c r="F265">
        <v>57.17</v>
      </c>
      <c r="G265" t="s">
        <v>940</v>
      </c>
      <c r="H26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$57.17</v>
      </c>
      <c r="I265" t="str">
        <f>LEFT(Table2[[#This Row],[priceWithCurrency]],3)</f>
        <v xml:space="preserve">US </v>
      </c>
      <c r="J265">
        <v>7</v>
      </c>
      <c r="K265" t="str">
        <f>IF(Table2[[#This Row],[Available]]&lt;=50, "Less Stock", "Required stock" )</f>
        <v>Less Stock</v>
      </c>
      <c r="L265">
        <f t="shared" si="4"/>
        <v>54.59</v>
      </c>
      <c r="M265" t="s">
        <v>941</v>
      </c>
      <c r="N265">
        <v>210</v>
      </c>
      <c r="O265" t="s">
        <v>942</v>
      </c>
      <c r="P265" t="str">
        <f>RIGHT(RIGHT(Table2[[#This Row],[last Updated]],12),4)</f>
        <v xml:space="preserve"> PDT</v>
      </c>
      <c r="Q265" t="s">
        <v>121</v>
      </c>
    </row>
    <row r="266" spans="1:17" x14ac:dyDescent="0.25">
      <c r="A266" t="s">
        <v>943</v>
      </c>
      <c r="B266" t="str">
        <f>UPPER(Table2[[#This Row],[Brand]])</f>
        <v>AS SHOWED</v>
      </c>
      <c r="C266" t="str">
        <f>LOWER(Table2[[#This Row],[Brand]])</f>
        <v>as showed</v>
      </c>
      <c r="D266" t="str">
        <f>PROPER(Table2[[#This Row],[Brand]])</f>
        <v>As Showed</v>
      </c>
      <c r="E266" t="s">
        <v>15</v>
      </c>
      <c r="F266">
        <v>9.61</v>
      </c>
      <c r="G266" t="s">
        <v>944</v>
      </c>
      <c r="H26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$9.61</v>
      </c>
      <c r="I266" t="str">
        <f>LEFT(Table2[[#This Row],[priceWithCurrency]],3)</f>
        <v xml:space="preserve">US </v>
      </c>
      <c r="K266" t="str">
        <f>IF(Table2[[#This Row],[Available]]&lt;=50, "Less Stock", "Required stock" )</f>
        <v>Less Stock</v>
      </c>
      <c r="L266">
        <f t="shared" si="4"/>
        <v>1904.04</v>
      </c>
      <c r="M266" t="s">
        <v>945</v>
      </c>
      <c r="N266">
        <v>17</v>
      </c>
      <c r="O266" t="s">
        <v>946</v>
      </c>
      <c r="P266" t="str">
        <f>RIGHT(RIGHT(Table2[[#This Row],[last Updated]],12),4)</f>
        <v xml:space="preserve"> PDT</v>
      </c>
      <c r="Q266" t="s">
        <v>947</v>
      </c>
    </row>
    <row r="267" spans="1:17" x14ac:dyDescent="0.25">
      <c r="A267" t="s">
        <v>79</v>
      </c>
      <c r="B267" t="str">
        <f>UPPER(Table2[[#This Row],[Brand]])</f>
        <v>PACO RABANNE</v>
      </c>
      <c r="C267" t="str">
        <f>LOWER(Table2[[#This Row],[Brand]])</f>
        <v>paco rabanne</v>
      </c>
      <c r="D267" t="str">
        <f>PROPER(Table2[[#This Row],[Brand]])</f>
        <v>Paco Rabanne</v>
      </c>
      <c r="E267" t="s">
        <v>948</v>
      </c>
      <c r="F267">
        <v>39.99</v>
      </c>
      <c r="G267" t="s">
        <v>96</v>
      </c>
      <c r="H26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$39.99</v>
      </c>
      <c r="I267" t="str">
        <f>LEFT(Table2[[#This Row],[priceWithCurrency]],3)</f>
        <v xml:space="preserve">US </v>
      </c>
      <c r="J267">
        <v>3</v>
      </c>
      <c r="K267" t="str">
        <f>IF(Table2[[#This Row],[Available]]&lt;=50, "Less Stock", "Required stock" )</f>
        <v>Less Stock</v>
      </c>
      <c r="L267">
        <f t="shared" si="4"/>
        <v>1873.0900000000001</v>
      </c>
      <c r="M267" t="s">
        <v>324</v>
      </c>
      <c r="N267">
        <v>3</v>
      </c>
      <c r="O267" t="s">
        <v>949</v>
      </c>
      <c r="P267" t="str">
        <f>RIGHT(RIGHT(Table2[[#This Row],[last Updated]],12),4)</f>
        <v xml:space="preserve"> PDT</v>
      </c>
      <c r="Q267" t="s">
        <v>950</v>
      </c>
    </row>
    <row r="268" spans="1:17" x14ac:dyDescent="0.25">
      <c r="A268" t="s">
        <v>20</v>
      </c>
      <c r="B268" t="str">
        <f>UPPER(Table2[[#This Row],[Brand]])</f>
        <v>GIORGIO ARMANI</v>
      </c>
      <c r="C268" t="str">
        <f>LOWER(Table2[[#This Row],[Brand]])</f>
        <v>giorgio armani</v>
      </c>
      <c r="D268" t="str">
        <f>PROPER(Table2[[#This Row],[Brand]])</f>
        <v>Giorgio Armani</v>
      </c>
      <c r="E268" t="s">
        <v>4</v>
      </c>
      <c r="F268">
        <v>138.99</v>
      </c>
      <c r="G268" t="s">
        <v>951</v>
      </c>
      <c r="H26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$138.99</v>
      </c>
      <c r="I268" t="str">
        <f>LEFT(Table2[[#This Row],[priceWithCurrency]],3)</f>
        <v xml:space="preserve">US </v>
      </c>
      <c r="J268">
        <v>4</v>
      </c>
      <c r="K268" t="str">
        <f>IF(Table2[[#This Row],[Available]]&lt;=50, "Less Stock", "Required stock" )</f>
        <v>Less Stock</v>
      </c>
      <c r="L268">
        <f t="shared" si="4"/>
        <v>1192.8500000000001</v>
      </c>
      <c r="M268" t="s">
        <v>952</v>
      </c>
      <c r="N268">
        <v>6</v>
      </c>
      <c r="O268" t="s">
        <v>953</v>
      </c>
      <c r="P268" t="str">
        <f>RIGHT(RIGHT(Table2[[#This Row],[last Updated]],12),4)</f>
        <v xml:space="preserve"> PDT</v>
      </c>
      <c r="Q268" t="s">
        <v>542</v>
      </c>
    </row>
    <row r="269" spans="1:17" x14ac:dyDescent="0.25">
      <c r="A269" t="s">
        <v>56</v>
      </c>
      <c r="B269" t="str">
        <f>UPPER(Table2[[#This Row],[Brand]])</f>
        <v>RALPH LAUREN</v>
      </c>
      <c r="C269" t="str">
        <f>LOWER(Table2[[#This Row],[Brand]])</f>
        <v>ralph lauren</v>
      </c>
      <c r="D269" t="str">
        <f>PROPER(Table2[[#This Row],[Brand]])</f>
        <v>Ralph Lauren</v>
      </c>
      <c r="E269" t="s">
        <v>15</v>
      </c>
      <c r="F269">
        <v>44.49</v>
      </c>
      <c r="G269" t="s">
        <v>954</v>
      </c>
      <c r="H26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$44.49</v>
      </c>
      <c r="I269" t="str">
        <f>LEFT(Table2[[#This Row],[priceWithCurrency]],3)</f>
        <v xml:space="preserve">US </v>
      </c>
      <c r="J269">
        <v>5</v>
      </c>
      <c r="K269" t="str">
        <f>IF(Table2[[#This Row],[Available]]&lt;=50, "Less Stock", "Required stock" )</f>
        <v>Less Stock</v>
      </c>
      <c r="L269">
        <f t="shared" si="4"/>
        <v>1172.8600000000001</v>
      </c>
      <c r="M269" t="s">
        <v>955</v>
      </c>
      <c r="N269">
        <v>4</v>
      </c>
      <c r="O269" t="s">
        <v>956</v>
      </c>
      <c r="P269" t="str">
        <f>RIGHT(RIGHT(Table2[[#This Row],[last Updated]],12),4)</f>
        <v xml:space="preserve"> PDT</v>
      </c>
      <c r="Q269" t="s">
        <v>99</v>
      </c>
    </row>
    <row r="270" spans="1:17" x14ac:dyDescent="0.25">
      <c r="A270" t="s">
        <v>117</v>
      </c>
      <c r="B270" t="str">
        <f>UPPER(Table2[[#This Row],[Brand]])</f>
        <v>AFNAN</v>
      </c>
      <c r="C270" t="str">
        <f>LOWER(Table2[[#This Row],[Brand]])</f>
        <v>afnan</v>
      </c>
      <c r="D270" t="str">
        <f>PROPER(Table2[[#This Row],[Brand]])</f>
        <v>Afnan</v>
      </c>
      <c r="E270" t="s">
        <v>26</v>
      </c>
      <c r="F270">
        <v>23.49</v>
      </c>
      <c r="G270" t="s">
        <v>957</v>
      </c>
      <c r="H27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$23.49</v>
      </c>
      <c r="I270" t="str">
        <f>LEFT(Table2[[#This Row],[priceWithCurrency]],3)</f>
        <v xml:space="preserve">US </v>
      </c>
      <c r="J270">
        <v>3</v>
      </c>
      <c r="K270" t="str">
        <f>IF(Table2[[#This Row],[Available]]&lt;=50, "Less Stock", "Required stock" )</f>
        <v>Less Stock</v>
      </c>
      <c r="L270">
        <f t="shared" si="4"/>
        <v>1876.97</v>
      </c>
      <c r="M270" t="s">
        <v>958</v>
      </c>
      <c r="N270">
        <v>14</v>
      </c>
      <c r="O270" t="s">
        <v>959</v>
      </c>
      <c r="P270" t="str">
        <f>RIGHT(RIGHT(Table2[[#This Row],[last Updated]],12),4)</f>
        <v xml:space="preserve"> PDT</v>
      </c>
      <c r="Q270" t="s">
        <v>30</v>
      </c>
    </row>
    <row r="271" spans="1:17" x14ac:dyDescent="0.25">
      <c r="A271" t="s">
        <v>20</v>
      </c>
      <c r="B271" t="str">
        <f>UPPER(Table2[[#This Row],[Brand]])</f>
        <v>GIORGIO ARMANI</v>
      </c>
      <c r="C271" t="str">
        <f>LOWER(Table2[[#This Row],[Brand]])</f>
        <v>giorgio armani</v>
      </c>
      <c r="D271" t="str">
        <f>PROPER(Table2[[#This Row],[Brand]])</f>
        <v>Giorgio Armani</v>
      </c>
      <c r="E271" t="s">
        <v>15</v>
      </c>
      <c r="F271">
        <v>29.99</v>
      </c>
      <c r="G271" t="s">
        <v>91</v>
      </c>
      <c r="H27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$29.99</v>
      </c>
      <c r="I271" t="str">
        <f>LEFT(Table2[[#This Row],[priceWithCurrency]],3)</f>
        <v xml:space="preserve">US </v>
      </c>
      <c r="J271">
        <v>10</v>
      </c>
      <c r="K271" t="str">
        <f>IF(Table2[[#This Row],[Available]]&lt;=50, "Less Stock", "Required stock" )</f>
        <v>Less Stock</v>
      </c>
      <c r="L271">
        <f t="shared" si="4"/>
        <v>2001.97</v>
      </c>
      <c r="M271" t="s">
        <v>337</v>
      </c>
      <c r="N271">
        <v>179</v>
      </c>
      <c r="O271" t="s">
        <v>960</v>
      </c>
      <c r="P271" t="str">
        <f>RIGHT(RIGHT(Table2[[#This Row],[last Updated]],12),4)</f>
        <v xml:space="preserve"> PDT</v>
      </c>
      <c r="Q271" t="s">
        <v>60</v>
      </c>
    </row>
    <row r="272" spans="1:17" x14ac:dyDescent="0.25">
      <c r="A272" t="s">
        <v>56</v>
      </c>
      <c r="B272" t="str">
        <f>UPPER(Table2[[#This Row],[Brand]])</f>
        <v>RALPH LAUREN</v>
      </c>
      <c r="C272" t="str">
        <f>LOWER(Table2[[#This Row],[Brand]])</f>
        <v>ralph lauren</v>
      </c>
      <c r="D272" t="str">
        <f>PROPER(Table2[[#This Row],[Brand]])</f>
        <v>Ralph Lauren</v>
      </c>
      <c r="E272" t="s">
        <v>15</v>
      </c>
      <c r="F272">
        <v>22.99</v>
      </c>
      <c r="G272" t="s">
        <v>961</v>
      </c>
      <c r="H27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$22.99</v>
      </c>
      <c r="I272" t="str">
        <f>LEFT(Table2[[#This Row],[priceWithCurrency]],3)</f>
        <v xml:space="preserve">US </v>
      </c>
      <c r="J272">
        <v>6</v>
      </c>
      <c r="K272" t="str">
        <f>IF(Table2[[#This Row],[Available]]&lt;=50, "Less Stock", "Required stock" )</f>
        <v>Less Stock</v>
      </c>
      <c r="L272">
        <f t="shared" si="4"/>
        <v>2007.21</v>
      </c>
      <c r="M272" t="s">
        <v>787</v>
      </c>
      <c r="N272">
        <v>14</v>
      </c>
      <c r="O272" t="s">
        <v>962</v>
      </c>
      <c r="P272" t="str">
        <f>RIGHT(RIGHT(Table2[[#This Row],[last Updated]],12),4)</f>
        <v xml:space="preserve"> PDT</v>
      </c>
      <c r="Q272" t="s">
        <v>30</v>
      </c>
    </row>
    <row r="273" spans="1:17" x14ac:dyDescent="0.25">
      <c r="A273" t="s">
        <v>76</v>
      </c>
      <c r="B273" t="str">
        <f>UPPER(Table2[[#This Row],[Brand]])</f>
        <v>VERSACE</v>
      </c>
      <c r="C273" t="str">
        <f>LOWER(Table2[[#This Row],[Brand]])</f>
        <v>versace</v>
      </c>
      <c r="D273" t="str">
        <f>PROPER(Table2[[#This Row],[Brand]])</f>
        <v>Versace</v>
      </c>
      <c r="E273" t="s">
        <v>841</v>
      </c>
      <c r="F273">
        <v>29.19</v>
      </c>
      <c r="G273" t="s">
        <v>963</v>
      </c>
      <c r="H27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$29.19</v>
      </c>
      <c r="I273" t="str">
        <f>LEFT(Table2[[#This Row],[priceWithCurrency]],3)</f>
        <v xml:space="preserve">US </v>
      </c>
      <c r="J273">
        <v>10</v>
      </c>
      <c r="K273" t="str">
        <f>IF(Table2[[#This Row],[Available]]&lt;=50, "Less Stock", "Required stock" )</f>
        <v>Less Stock</v>
      </c>
      <c r="L273">
        <f t="shared" si="4"/>
        <v>1194.8500000000001</v>
      </c>
      <c r="M273" t="s">
        <v>964</v>
      </c>
      <c r="N273">
        <v>1787</v>
      </c>
      <c r="O273" t="s">
        <v>965</v>
      </c>
      <c r="P273" t="str">
        <f>RIGHT(RIGHT(Table2[[#This Row],[last Updated]],12),4)</f>
        <v xml:space="preserve"> PDT</v>
      </c>
      <c r="Q273" t="s">
        <v>89</v>
      </c>
    </row>
    <row r="274" spans="1:17" x14ac:dyDescent="0.25">
      <c r="A274" t="s">
        <v>966</v>
      </c>
      <c r="B274" t="str">
        <f>UPPER(Table2[[#This Row],[Brand]])</f>
        <v>LOMANI</v>
      </c>
      <c r="C274" t="str">
        <f>LOWER(Table2[[#This Row],[Brand]])</f>
        <v>lomani</v>
      </c>
      <c r="D274" t="str">
        <f>PROPER(Table2[[#This Row],[Brand]])</f>
        <v>Lomani</v>
      </c>
      <c r="E274" t="s">
        <v>15</v>
      </c>
      <c r="F274">
        <v>16.39</v>
      </c>
      <c r="G274" t="s">
        <v>967</v>
      </c>
      <c r="H27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$16.39</v>
      </c>
      <c r="I274" t="str">
        <f>LEFT(Table2[[#This Row],[priceWithCurrency]],3)</f>
        <v xml:space="preserve">US </v>
      </c>
      <c r="J274">
        <v>31</v>
      </c>
      <c r="K274" t="str">
        <f>IF(Table2[[#This Row],[Available]]&lt;=50, "Less Stock", "Required stock" )</f>
        <v>Less Stock</v>
      </c>
      <c r="L274">
        <f t="shared" si="4"/>
        <v>1958.2600000000002</v>
      </c>
      <c r="M274" t="s">
        <v>968</v>
      </c>
      <c r="N274">
        <v>1630</v>
      </c>
      <c r="O274" t="s">
        <v>969</v>
      </c>
      <c r="P274" t="str">
        <f>RIGHT(RIGHT(Table2[[#This Row],[last Updated]],12),4)</f>
        <v xml:space="preserve"> PDT</v>
      </c>
      <c r="Q274" t="s">
        <v>121</v>
      </c>
    </row>
    <row r="275" spans="1:17" x14ac:dyDescent="0.25">
      <c r="A275" t="s">
        <v>970</v>
      </c>
      <c r="B275" t="str">
        <f>UPPER(Table2[[#This Row],[Brand]])</f>
        <v>KING OF KINGS</v>
      </c>
      <c r="C275" t="str">
        <f>LOWER(Table2[[#This Row],[Brand]])</f>
        <v>king of kings</v>
      </c>
      <c r="D275" t="str">
        <f>PROPER(Table2[[#This Row],[Brand]])</f>
        <v>King Of Kings</v>
      </c>
      <c r="E275" t="s">
        <v>32</v>
      </c>
      <c r="F275">
        <v>79.989999999999995</v>
      </c>
      <c r="G275" t="s">
        <v>521</v>
      </c>
      <c r="H27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$79.99</v>
      </c>
      <c r="I275" t="str">
        <f>LEFT(Table2[[#This Row],[priceWithCurrency]],3)</f>
        <v xml:space="preserve">US </v>
      </c>
      <c r="J275">
        <v>7</v>
      </c>
      <c r="K275" t="str">
        <f>IF(Table2[[#This Row],[Available]]&lt;=50, "Less Stock", "Required stock" )</f>
        <v>Less Stock</v>
      </c>
      <c r="L275">
        <f t="shared" si="4"/>
        <v>1334.8500000000001</v>
      </c>
      <c r="M275" t="s">
        <v>971</v>
      </c>
      <c r="N275">
        <v>43</v>
      </c>
      <c r="O275" t="s">
        <v>972</v>
      </c>
      <c r="P275" t="str">
        <f>RIGHT(RIGHT(Table2[[#This Row],[last Updated]],12),4)</f>
        <v xml:space="preserve"> PDT</v>
      </c>
      <c r="Q275" t="s">
        <v>973</v>
      </c>
    </row>
    <row r="276" spans="1:17" x14ac:dyDescent="0.25">
      <c r="A276" t="s">
        <v>66</v>
      </c>
      <c r="B276" t="str">
        <f>UPPER(Table2[[#This Row],[Brand]])</f>
        <v>SECERTMU</v>
      </c>
      <c r="C276" t="str">
        <f>LOWER(Table2[[#This Row],[Brand]])</f>
        <v>secertmu</v>
      </c>
      <c r="D276" t="str">
        <f>PROPER(Table2[[#This Row],[Brand]])</f>
        <v>Secertmu</v>
      </c>
      <c r="E276" t="s">
        <v>32</v>
      </c>
      <c r="F276">
        <v>7.96</v>
      </c>
      <c r="G276" t="s">
        <v>974</v>
      </c>
      <c r="H27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$7.96</v>
      </c>
      <c r="I276" t="str">
        <f>LEFT(Table2[[#This Row],[priceWithCurrency]],3)</f>
        <v xml:space="preserve">US </v>
      </c>
      <c r="J276">
        <v>10</v>
      </c>
      <c r="K276" t="str">
        <f>IF(Table2[[#This Row],[Available]]&lt;=50, "Less Stock", "Required stock" )</f>
        <v>Less Stock</v>
      </c>
      <c r="L276">
        <f t="shared" si="4"/>
        <v>1921.27</v>
      </c>
      <c r="M276" t="s">
        <v>975</v>
      </c>
      <c r="N276">
        <v>38</v>
      </c>
      <c r="O276" t="s">
        <v>976</v>
      </c>
      <c r="P276" t="str">
        <f>RIGHT(RIGHT(Table2[[#This Row],[last Updated]],12),4)</f>
        <v xml:space="preserve"> PST</v>
      </c>
      <c r="Q276" t="s">
        <v>70</v>
      </c>
    </row>
    <row r="277" spans="1:17" x14ac:dyDescent="0.25">
      <c r="A277" t="s">
        <v>79</v>
      </c>
      <c r="B277" t="str">
        <f>UPPER(Table2[[#This Row],[Brand]])</f>
        <v>PACO RABANNE</v>
      </c>
      <c r="C277" t="str">
        <f>LOWER(Table2[[#This Row],[Brand]])</f>
        <v>paco rabanne</v>
      </c>
      <c r="D277" t="str">
        <f>PROPER(Table2[[#This Row],[Brand]])</f>
        <v>Paco Rabanne</v>
      </c>
      <c r="E277" t="s">
        <v>80</v>
      </c>
      <c r="F277">
        <v>69.989999999999995</v>
      </c>
      <c r="G277" t="s">
        <v>616</v>
      </c>
      <c r="H27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$69.99</v>
      </c>
      <c r="I277" t="str">
        <f>LEFT(Table2[[#This Row],[priceWithCurrency]],3)</f>
        <v xml:space="preserve">US </v>
      </c>
      <c r="J277">
        <v>9</v>
      </c>
      <c r="K277" t="str">
        <f>IF(Table2[[#This Row],[Available]]&lt;=50, "Less Stock", "Required stock" )</f>
        <v>Less Stock</v>
      </c>
      <c r="L277">
        <f t="shared" si="4"/>
        <v>1948.26</v>
      </c>
      <c r="M277" t="s">
        <v>977</v>
      </c>
      <c r="N277">
        <v>2</v>
      </c>
      <c r="O277" t="s">
        <v>978</v>
      </c>
      <c r="P277" t="str">
        <f>RIGHT(RIGHT(Table2[[#This Row],[last Updated]],12),4)</f>
        <v xml:space="preserve"> PDT</v>
      </c>
      <c r="Q277" t="s">
        <v>65</v>
      </c>
    </row>
    <row r="278" spans="1:17" x14ac:dyDescent="0.25">
      <c r="A278" t="s">
        <v>543</v>
      </c>
      <c r="B278" t="str">
        <f>UPPER(Table2[[#This Row],[Brand]])</f>
        <v>JEAN PAUL GAULTIER</v>
      </c>
      <c r="C278" t="str">
        <f>LOWER(Table2[[#This Row],[Brand]])</f>
        <v>jean paul gaultier</v>
      </c>
      <c r="D278" t="str">
        <f>PROPER(Table2[[#This Row],[Brand]])</f>
        <v>Jean Paul Gaultier</v>
      </c>
      <c r="E278" t="s">
        <v>979</v>
      </c>
      <c r="F278">
        <v>92</v>
      </c>
      <c r="G278" t="s">
        <v>980</v>
      </c>
      <c r="H27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$92.00</v>
      </c>
      <c r="I278" t="str">
        <f>LEFT(Table2[[#This Row],[priceWithCurrency]],3)</f>
        <v xml:space="preserve">US </v>
      </c>
      <c r="J278">
        <v>3</v>
      </c>
      <c r="K278" t="str">
        <f>IF(Table2[[#This Row],[Available]]&lt;=50, "Less Stock", "Required stock" )</f>
        <v>Less Stock</v>
      </c>
      <c r="L278">
        <f t="shared" si="4"/>
        <v>39.04</v>
      </c>
      <c r="M278" t="s">
        <v>981</v>
      </c>
      <c r="N278">
        <v>37</v>
      </c>
      <c r="O278" t="s">
        <v>982</v>
      </c>
      <c r="P278" t="str">
        <f>RIGHT(RIGHT(Table2[[#This Row],[last Updated]],12),4)</f>
        <v xml:space="preserve"> PDT</v>
      </c>
      <c r="Q278" t="s">
        <v>138</v>
      </c>
    </row>
    <row r="279" spans="1:17" x14ac:dyDescent="0.25">
      <c r="A279" t="s">
        <v>95</v>
      </c>
      <c r="B279" t="str">
        <f>UPPER(Table2[[#This Row],[Brand]])</f>
        <v>CAROLINA HERRERA</v>
      </c>
      <c r="C279" t="str">
        <f>LOWER(Table2[[#This Row],[Brand]])</f>
        <v>carolina herrera</v>
      </c>
      <c r="D279" t="str">
        <f>PROPER(Table2[[#This Row],[Brand]])</f>
        <v>Carolina Herrera</v>
      </c>
      <c r="E279" t="s">
        <v>15</v>
      </c>
      <c r="F279">
        <v>39.99</v>
      </c>
      <c r="G279" t="s">
        <v>96</v>
      </c>
      <c r="H27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$39.99</v>
      </c>
      <c r="I279" t="str">
        <f>LEFT(Table2[[#This Row],[priceWithCurrency]],3)</f>
        <v xml:space="preserve">US </v>
      </c>
      <c r="J279">
        <v>6</v>
      </c>
      <c r="K279" t="str">
        <f>IF(Table2[[#This Row],[Available]]&lt;=50, "Less Stock", "Required stock" )</f>
        <v>Less Stock</v>
      </c>
      <c r="L279">
        <f t="shared" si="4"/>
        <v>1334.8500000000001</v>
      </c>
      <c r="M279" t="s">
        <v>983</v>
      </c>
      <c r="N279">
        <v>25</v>
      </c>
      <c r="O279" t="s">
        <v>984</v>
      </c>
      <c r="P279" t="str">
        <f>RIGHT(RIGHT(Table2[[#This Row],[last Updated]],12),4)</f>
        <v xml:space="preserve"> PDT</v>
      </c>
      <c r="Q279" t="s">
        <v>406</v>
      </c>
    </row>
    <row r="280" spans="1:17" x14ac:dyDescent="0.25">
      <c r="A280" t="s">
        <v>347</v>
      </c>
      <c r="B280" t="str">
        <f>UPPER(Table2[[#This Row],[Brand]])</f>
        <v>AS SHOWN</v>
      </c>
      <c r="C280" t="str">
        <f>LOWER(Table2[[#This Row],[Brand]])</f>
        <v>as shown</v>
      </c>
      <c r="D280" t="str">
        <f>PROPER(Table2[[#This Row],[Brand]])</f>
        <v>As Shown</v>
      </c>
      <c r="E280" t="s">
        <v>4</v>
      </c>
      <c r="F280">
        <v>49.99</v>
      </c>
      <c r="G280" t="s">
        <v>52</v>
      </c>
      <c r="H28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$49.99</v>
      </c>
      <c r="I280" t="str">
        <f>LEFT(Table2[[#This Row],[priceWithCurrency]],3)</f>
        <v xml:space="preserve">US </v>
      </c>
      <c r="J280">
        <v>5</v>
      </c>
      <c r="K280" t="str">
        <f>IF(Table2[[#This Row],[Available]]&lt;=50, "Less Stock", "Required stock" )</f>
        <v>Less Stock</v>
      </c>
      <c r="L280">
        <f t="shared" si="4"/>
        <v>2086.84</v>
      </c>
      <c r="M280" t="s">
        <v>985</v>
      </c>
      <c r="N280">
        <v>43</v>
      </c>
      <c r="O280" t="s">
        <v>986</v>
      </c>
      <c r="P280" t="str">
        <f>RIGHT(RIGHT(Table2[[#This Row],[last Updated]],12),4)</f>
        <v xml:space="preserve"> PDT</v>
      </c>
      <c r="Q280" t="s">
        <v>351</v>
      </c>
    </row>
    <row r="281" spans="1:17" x14ac:dyDescent="0.25">
      <c r="A281" t="s">
        <v>117</v>
      </c>
      <c r="B281" t="str">
        <f>UPPER(Table2[[#This Row],[Brand]])</f>
        <v>AFNAN</v>
      </c>
      <c r="C281" t="str">
        <f>LOWER(Table2[[#This Row],[Brand]])</f>
        <v>afnan</v>
      </c>
      <c r="D281" t="str">
        <f>PROPER(Table2[[#This Row],[Brand]])</f>
        <v>Afnan</v>
      </c>
      <c r="E281" t="s">
        <v>4</v>
      </c>
      <c r="F281">
        <v>25.86</v>
      </c>
      <c r="G281" t="s">
        <v>987</v>
      </c>
      <c r="H28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$25.86</v>
      </c>
      <c r="I281" t="str">
        <f>LEFT(Table2[[#This Row],[priceWithCurrency]],3)</f>
        <v xml:space="preserve">US </v>
      </c>
      <c r="J281">
        <v>13</v>
      </c>
      <c r="K281" t="str">
        <f>IF(Table2[[#This Row],[Available]]&lt;=50, "Less Stock", "Required stock" )</f>
        <v>Less Stock</v>
      </c>
      <c r="L281">
        <f t="shared" si="4"/>
        <v>1342.8500000000001</v>
      </c>
      <c r="M281" t="s">
        <v>988</v>
      </c>
      <c r="N281">
        <v>55</v>
      </c>
      <c r="O281" t="s">
        <v>989</v>
      </c>
      <c r="P281" t="str">
        <f>RIGHT(RIGHT(Table2[[#This Row],[last Updated]],12),4)</f>
        <v xml:space="preserve"> PDT</v>
      </c>
      <c r="Q281" t="s">
        <v>438</v>
      </c>
    </row>
    <row r="282" spans="1:17" x14ac:dyDescent="0.25">
      <c r="A282" t="s">
        <v>104</v>
      </c>
      <c r="B282" t="str">
        <f>UPPER(Table2[[#This Row],[Brand]])</f>
        <v>DOLCE &amp; GABBANA</v>
      </c>
      <c r="C282" t="str">
        <f>LOWER(Table2[[#This Row],[Brand]])</f>
        <v>dolce &amp; gabbana</v>
      </c>
      <c r="D282" t="str">
        <f>PROPER(Table2[[#This Row],[Brand]])</f>
        <v>Dolce &amp; Gabbana</v>
      </c>
      <c r="E282" t="s">
        <v>990</v>
      </c>
      <c r="F282">
        <v>16</v>
      </c>
      <c r="G282" t="s">
        <v>991</v>
      </c>
      <c r="H28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$16.00</v>
      </c>
      <c r="I282" t="str">
        <f>LEFT(Table2[[#This Row],[priceWithCurrency]],3)</f>
        <v xml:space="preserve">US </v>
      </c>
      <c r="J282">
        <v>10</v>
      </c>
      <c r="K282" t="str">
        <f>IF(Table2[[#This Row],[Available]]&lt;=50, "Less Stock", "Required stock" )</f>
        <v>Less Stock</v>
      </c>
      <c r="L282">
        <f t="shared" si="4"/>
        <v>126.99000000000001</v>
      </c>
      <c r="M282" t="s">
        <v>992</v>
      </c>
      <c r="N282">
        <v>41</v>
      </c>
      <c r="P282" t="str">
        <f>RIGHT(RIGHT(Table2[[#This Row],[last Updated]],12),4)</f>
        <v/>
      </c>
      <c r="Q282" t="s">
        <v>468</v>
      </c>
    </row>
    <row r="283" spans="1:17" x14ac:dyDescent="0.25">
      <c r="A283" t="s">
        <v>543</v>
      </c>
      <c r="B283" t="str">
        <f>UPPER(Table2[[#This Row],[Brand]])</f>
        <v>JEAN PAUL GAULTIER</v>
      </c>
      <c r="C283" t="str">
        <f>LOWER(Table2[[#This Row],[Brand]])</f>
        <v>jean paul gaultier</v>
      </c>
      <c r="D283" t="str">
        <f>PROPER(Table2[[#This Row],[Brand]])</f>
        <v>Jean Paul Gaultier</v>
      </c>
      <c r="E283" t="s">
        <v>15</v>
      </c>
      <c r="F283">
        <v>92</v>
      </c>
      <c r="G283" t="s">
        <v>980</v>
      </c>
      <c r="H28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$92.00</v>
      </c>
      <c r="I283" t="str">
        <f>LEFT(Table2[[#This Row],[priceWithCurrency]],3)</f>
        <v xml:space="preserve">US </v>
      </c>
      <c r="J283">
        <v>3</v>
      </c>
      <c r="K283" t="str">
        <f>IF(Table2[[#This Row],[Available]]&lt;=50, "Less Stock", "Required stock" )</f>
        <v>Less Stock</v>
      </c>
      <c r="L283">
        <f t="shared" si="4"/>
        <v>1299.4000000000001</v>
      </c>
      <c r="M283" t="s">
        <v>610</v>
      </c>
      <c r="N283">
        <v>29</v>
      </c>
      <c r="O283" t="s">
        <v>993</v>
      </c>
      <c r="P283" t="str">
        <f>RIGHT(RIGHT(Table2[[#This Row],[last Updated]],12),4)</f>
        <v xml:space="preserve"> PDT</v>
      </c>
      <c r="Q283" t="s">
        <v>138</v>
      </c>
    </row>
    <row r="284" spans="1:17" x14ac:dyDescent="0.25">
      <c r="A284" t="s">
        <v>56</v>
      </c>
      <c r="B284" t="str">
        <f>UPPER(Table2[[#This Row],[Brand]])</f>
        <v>RALPH LAUREN</v>
      </c>
      <c r="C284" t="str">
        <f>LOWER(Table2[[#This Row],[Brand]])</f>
        <v>ralph lauren</v>
      </c>
      <c r="D284" t="str">
        <f>PROPER(Table2[[#This Row],[Brand]])</f>
        <v>Ralph Lauren</v>
      </c>
      <c r="E284" t="s">
        <v>4</v>
      </c>
      <c r="F284">
        <v>89.25</v>
      </c>
      <c r="G284" t="s">
        <v>994</v>
      </c>
      <c r="H28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$89.25</v>
      </c>
      <c r="I284" t="str">
        <f>LEFT(Table2[[#This Row],[priceWithCurrency]],3)</f>
        <v xml:space="preserve">US </v>
      </c>
      <c r="J284">
        <v>10</v>
      </c>
      <c r="K284" t="str">
        <f>IF(Table2[[#This Row],[Available]]&lt;=50, "Less Stock", "Required stock" )</f>
        <v>Less Stock</v>
      </c>
      <c r="L284">
        <f t="shared" si="4"/>
        <v>1299.4000000000001</v>
      </c>
      <c r="M284" t="s">
        <v>995</v>
      </c>
      <c r="N284">
        <v>39</v>
      </c>
      <c r="O284" t="s">
        <v>996</v>
      </c>
      <c r="P284" t="str">
        <f>RIGHT(RIGHT(Table2[[#This Row],[last Updated]],12),4)</f>
        <v xml:space="preserve"> PDT</v>
      </c>
      <c r="Q284" t="s">
        <v>997</v>
      </c>
    </row>
    <row r="285" spans="1:17" x14ac:dyDescent="0.25">
      <c r="A285" t="s">
        <v>3</v>
      </c>
      <c r="B285" t="str">
        <f>UPPER(Table2[[#This Row],[Brand]])</f>
        <v>DIOR</v>
      </c>
      <c r="C285" t="str">
        <f>LOWER(Table2[[#This Row],[Brand]])</f>
        <v>dior</v>
      </c>
      <c r="D285" t="str">
        <f>PROPER(Table2[[#This Row],[Brand]])</f>
        <v>Dior</v>
      </c>
      <c r="E285" t="s">
        <v>15</v>
      </c>
      <c r="F285">
        <v>84.99</v>
      </c>
      <c r="G285" t="s">
        <v>5</v>
      </c>
      <c r="H28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$84.99</v>
      </c>
      <c r="I285" t="str">
        <f>LEFT(Table2[[#This Row],[priceWithCurrency]],3)</f>
        <v xml:space="preserve">US </v>
      </c>
      <c r="J285">
        <v>9</v>
      </c>
      <c r="K285" t="str">
        <f>IF(Table2[[#This Row],[Available]]&lt;=50, "Less Stock", "Required stock" )</f>
        <v>Less Stock</v>
      </c>
      <c r="L285">
        <f t="shared" si="4"/>
        <v>2038.7800000000004</v>
      </c>
      <c r="M285" t="s">
        <v>998</v>
      </c>
      <c r="N285">
        <v>13</v>
      </c>
      <c r="O285" t="s">
        <v>999</v>
      </c>
      <c r="P285" t="str">
        <f>RIGHT(RIGHT(Table2[[#This Row],[last Updated]],12),4)</f>
        <v xml:space="preserve"> PDT</v>
      </c>
      <c r="Q285" t="s">
        <v>65</v>
      </c>
    </row>
    <row r="286" spans="1:17" x14ac:dyDescent="0.25">
      <c r="A286" t="s">
        <v>504</v>
      </c>
      <c r="B286" t="str">
        <f>UPPER(Table2[[#This Row],[Brand]])</f>
        <v>BURBERRY</v>
      </c>
      <c r="C286" t="str">
        <f>LOWER(Table2[[#This Row],[Brand]])</f>
        <v>burberry</v>
      </c>
      <c r="D286" t="str">
        <f>PROPER(Table2[[#This Row],[Brand]])</f>
        <v>Burberry</v>
      </c>
      <c r="E286" t="s">
        <v>15</v>
      </c>
      <c r="F286">
        <v>28.25</v>
      </c>
      <c r="G286" t="s">
        <v>1000</v>
      </c>
      <c r="H28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$28.25</v>
      </c>
      <c r="I286" t="str">
        <f>LEFT(Table2[[#This Row],[priceWithCurrency]],3)</f>
        <v xml:space="preserve">US </v>
      </c>
      <c r="J286">
        <v>10</v>
      </c>
      <c r="K286" t="str">
        <f>IF(Table2[[#This Row],[Available]]&lt;=50, "Less Stock", "Required stock" )</f>
        <v>Less Stock</v>
      </c>
      <c r="L286">
        <f t="shared" si="4"/>
        <v>29.99</v>
      </c>
      <c r="M286" t="s">
        <v>1001</v>
      </c>
      <c r="N286">
        <v>12583</v>
      </c>
      <c r="O286" t="s">
        <v>1002</v>
      </c>
      <c r="P286" t="str">
        <f>RIGHT(RIGHT(Table2[[#This Row],[last Updated]],12),4)</f>
        <v xml:space="preserve"> PDT</v>
      </c>
      <c r="Q286" t="s">
        <v>108</v>
      </c>
    </row>
    <row r="287" spans="1:17" x14ac:dyDescent="0.25">
      <c r="A287" t="s">
        <v>20</v>
      </c>
      <c r="B287" t="str">
        <f>UPPER(Table2[[#This Row],[Brand]])</f>
        <v>GIORGIO ARMANI</v>
      </c>
      <c r="C287" t="str">
        <f>LOWER(Table2[[#This Row],[Brand]])</f>
        <v>giorgio armani</v>
      </c>
      <c r="D287" t="str">
        <f>PROPER(Table2[[#This Row],[Brand]])</f>
        <v>Giorgio Armani</v>
      </c>
      <c r="E287" t="s">
        <v>4</v>
      </c>
      <c r="F287">
        <v>15.99</v>
      </c>
      <c r="G287" t="s">
        <v>1003</v>
      </c>
      <c r="H28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$15.99</v>
      </c>
      <c r="I287" t="str">
        <f>LEFT(Table2[[#This Row],[priceWithCurrency]],3)</f>
        <v xml:space="preserve">US </v>
      </c>
      <c r="J287">
        <v>10</v>
      </c>
      <c r="K287" t="str">
        <f>IF(Table2[[#This Row],[Available]]&lt;=50, "Less Stock", "Required stock" )</f>
        <v>Less Stock</v>
      </c>
      <c r="L287">
        <f t="shared" si="4"/>
        <v>2008.7800000000004</v>
      </c>
      <c r="M287" t="s">
        <v>1004</v>
      </c>
      <c r="N287">
        <v>20</v>
      </c>
      <c r="P287" t="str">
        <f>RIGHT(RIGHT(Table2[[#This Row],[last Updated]],12),4)</f>
        <v/>
      </c>
      <c r="Q287" t="s">
        <v>1005</v>
      </c>
    </row>
    <row r="288" spans="1:17" x14ac:dyDescent="0.25">
      <c r="A288" t="s">
        <v>3</v>
      </c>
      <c r="B288" t="str">
        <f>UPPER(Table2[[#This Row],[Brand]])</f>
        <v>DIOR</v>
      </c>
      <c r="C288" t="str">
        <f>LOWER(Table2[[#This Row],[Brand]])</f>
        <v>dior</v>
      </c>
      <c r="D288" t="str">
        <f>PROPER(Table2[[#This Row],[Brand]])</f>
        <v>Dior</v>
      </c>
      <c r="E288" t="s">
        <v>15</v>
      </c>
      <c r="F288">
        <v>84.99</v>
      </c>
      <c r="G288" t="s">
        <v>5</v>
      </c>
      <c r="H28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$84.99</v>
      </c>
      <c r="I288" t="str">
        <f>LEFT(Table2[[#This Row],[priceWithCurrency]],3)</f>
        <v xml:space="preserve">US </v>
      </c>
      <c r="J288">
        <v>10</v>
      </c>
      <c r="K288" t="str">
        <f>IF(Table2[[#This Row],[Available]]&lt;=50, "Less Stock", "Required stock" )</f>
        <v>Less Stock</v>
      </c>
      <c r="L288">
        <f t="shared" si="4"/>
        <v>318.34999999999997</v>
      </c>
      <c r="M288" t="s">
        <v>1006</v>
      </c>
      <c r="N288">
        <v>51</v>
      </c>
      <c r="O288" t="s">
        <v>1007</v>
      </c>
      <c r="P288" t="str">
        <f>RIGHT(RIGHT(Table2[[#This Row],[last Updated]],12),4)</f>
        <v xml:space="preserve"> PDT</v>
      </c>
      <c r="Q288" t="s">
        <v>1008</v>
      </c>
    </row>
    <row r="289" spans="1:17" x14ac:dyDescent="0.25">
      <c r="A289" t="s">
        <v>373</v>
      </c>
      <c r="B289" t="str">
        <f>UPPER(Table2[[#This Row],[Brand]])</f>
        <v>ABERCROMBIE &amp; FITCH</v>
      </c>
      <c r="C289" t="str">
        <f>LOWER(Table2[[#This Row],[Brand]])</f>
        <v>abercrombie &amp; fitch</v>
      </c>
      <c r="D289" t="str">
        <f>PROPER(Table2[[#This Row],[Brand]])</f>
        <v>Abercrombie &amp; Fitch</v>
      </c>
      <c r="E289" t="s">
        <v>374</v>
      </c>
      <c r="F289">
        <v>38.99</v>
      </c>
      <c r="G289" t="s">
        <v>763</v>
      </c>
      <c r="H28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$38.99</v>
      </c>
      <c r="I289" t="str">
        <f>LEFT(Table2[[#This Row],[priceWithCurrency]],3)</f>
        <v xml:space="preserve">US </v>
      </c>
      <c r="J289">
        <v>10</v>
      </c>
      <c r="K289" t="str">
        <f>IF(Table2[[#This Row],[Available]]&lt;=50, "Less Stock", "Required stock" )</f>
        <v>Less Stock</v>
      </c>
      <c r="L289">
        <f t="shared" si="4"/>
        <v>1933.7800000000002</v>
      </c>
      <c r="M289" t="s">
        <v>1009</v>
      </c>
      <c r="N289">
        <v>919</v>
      </c>
      <c r="O289" t="s">
        <v>1010</v>
      </c>
      <c r="P289" t="str">
        <f>RIGHT(RIGHT(Table2[[#This Row],[last Updated]],12),4)</f>
        <v xml:space="preserve"> PDT</v>
      </c>
      <c r="Q289" t="s">
        <v>406</v>
      </c>
    </row>
    <row r="290" spans="1:17" x14ac:dyDescent="0.25">
      <c r="A290" t="s">
        <v>1011</v>
      </c>
      <c r="B290" t="str">
        <f>UPPER(Table2[[#This Row],[Brand]])</f>
        <v>RUE21</v>
      </c>
      <c r="C290" t="str">
        <f>LOWER(Table2[[#This Row],[Brand]])</f>
        <v>rue21</v>
      </c>
      <c r="D290" t="str">
        <f>PROPER(Table2[[#This Row],[Brand]])</f>
        <v>Rue21</v>
      </c>
      <c r="E290" t="s">
        <v>335</v>
      </c>
      <c r="F290">
        <v>25</v>
      </c>
      <c r="G290" t="s">
        <v>1012</v>
      </c>
      <c r="H29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$25.00</v>
      </c>
      <c r="I290" t="str">
        <f>LEFT(Table2[[#This Row],[priceWithCurrency]],3)</f>
        <v xml:space="preserve">US </v>
      </c>
      <c r="J290">
        <v>4</v>
      </c>
      <c r="K290" t="str">
        <f>IF(Table2[[#This Row],[Available]]&lt;=50, "Less Stock", "Required stock" )</f>
        <v>Less Stock</v>
      </c>
      <c r="L290">
        <f t="shared" si="4"/>
        <v>1933.7800000000002</v>
      </c>
      <c r="M290" t="s">
        <v>101</v>
      </c>
      <c r="N290">
        <v>22</v>
      </c>
      <c r="O290" t="s">
        <v>1013</v>
      </c>
      <c r="P290" t="str">
        <f>RIGHT(RIGHT(Table2[[#This Row],[last Updated]],12),4)</f>
        <v xml:space="preserve"> PDT</v>
      </c>
      <c r="Q290" t="s">
        <v>669</v>
      </c>
    </row>
    <row r="291" spans="1:17" x14ac:dyDescent="0.25">
      <c r="A291" t="s">
        <v>14</v>
      </c>
      <c r="B291" t="str">
        <f>UPPER(Table2[[#This Row],[Brand]])</f>
        <v>UNBRANDED</v>
      </c>
      <c r="C291" t="str">
        <f>LOWER(Table2[[#This Row],[Brand]])</f>
        <v>unbranded</v>
      </c>
      <c r="D291" t="str">
        <f>PROPER(Table2[[#This Row],[Brand]])</f>
        <v>Unbranded</v>
      </c>
      <c r="E291" t="s">
        <v>15</v>
      </c>
      <c r="F291">
        <v>39.99</v>
      </c>
      <c r="G291" t="s">
        <v>96</v>
      </c>
      <c r="H29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$39.99</v>
      </c>
      <c r="I291" t="str">
        <f>LEFT(Table2[[#This Row],[priceWithCurrency]],3)</f>
        <v xml:space="preserve">US </v>
      </c>
      <c r="J291">
        <v>5</v>
      </c>
      <c r="K291" t="str">
        <f>IF(Table2[[#This Row],[Available]]&lt;=50, "Less Stock", "Required stock" )</f>
        <v>Less Stock</v>
      </c>
      <c r="L291">
        <f t="shared" si="4"/>
        <v>1348.0700000000002</v>
      </c>
      <c r="M291" t="s">
        <v>1014</v>
      </c>
      <c r="N291">
        <v>18</v>
      </c>
      <c r="O291" t="s">
        <v>1015</v>
      </c>
      <c r="P291" t="str">
        <f>RIGHT(RIGHT(Table2[[#This Row],[last Updated]],12),4)</f>
        <v xml:space="preserve"> PDT</v>
      </c>
      <c r="Q291" t="s">
        <v>1016</v>
      </c>
    </row>
    <row r="292" spans="1:17" x14ac:dyDescent="0.25">
      <c r="A292" t="s">
        <v>20</v>
      </c>
      <c r="B292" t="str">
        <f>UPPER(Table2[[#This Row],[Brand]])</f>
        <v>GIORGIO ARMANI</v>
      </c>
      <c r="C292" t="str">
        <f>LOWER(Table2[[#This Row],[Brand]])</f>
        <v>giorgio armani</v>
      </c>
      <c r="D292" t="str">
        <f>PROPER(Table2[[#This Row],[Brand]])</f>
        <v>Giorgio Armani</v>
      </c>
      <c r="E292" t="s">
        <v>4</v>
      </c>
      <c r="F292">
        <v>19.95</v>
      </c>
      <c r="G292" t="s">
        <v>1017</v>
      </c>
      <c r="H29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$19.95</v>
      </c>
      <c r="I292" t="str">
        <f>LEFT(Table2[[#This Row],[priceWithCurrency]],3)</f>
        <v xml:space="preserve">US </v>
      </c>
      <c r="J292">
        <v>10</v>
      </c>
      <c r="K292" t="str">
        <f>IF(Table2[[#This Row],[Available]]&lt;=50, "Less Stock", "Required stock" )</f>
        <v>Less Stock</v>
      </c>
      <c r="L292">
        <f t="shared" si="4"/>
        <v>1348.0700000000002</v>
      </c>
      <c r="M292" t="s">
        <v>1018</v>
      </c>
      <c r="N292">
        <v>6</v>
      </c>
      <c r="P292" t="str">
        <f>RIGHT(RIGHT(Table2[[#This Row],[last Updated]],12),4)</f>
        <v/>
      </c>
      <c r="Q292" t="s">
        <v>1019</v>
      </c>
    </row>
    <row r="293" spans="1:17" x14ac:dyDescent="0.25">
      <c r="A293" t="s">
        <v>1020</v>
      </c>
      <c r="B293" t="str">
        <f>UPPER(Table2[[#This Row],[Brand]])</f>
        <v>ROJA DOVE</v>
      </c>
      <c r="C293" t="str">
        <f>LOWER(Table2[[#This Row],[Brand]])</f>
        <v>roja dove</v>
      </c>
      <c r="D293" t="str">
        <f>PROPER(Table2[[#This Row],[Brand]])</f>
        <v>Roja Dove</v>
      </c>
      <c r="E293" t="s">
        <v>4</v>
      </c>
      <c r="F293">
        <v>129.99</v>
      </c>
      <c r="G293" t="s">
        <v>1021</v>
      </c>
      <c r="H29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$129.99</v>
      </c>
      <c r="I293" t="str">
        <f>LEFT(Table2[[#This Row],[priceWithCurrency]],3)</f>
        <v xml:space="preserve">US </v>
      </c>
      <c r="J293">
        <v>6</v>
      </c>
      <c r="K293" t="str">
        <f>IF(Table2[[#This Row],[Available]]&lt;=50, "Less Stock", "Required stock" )</f>
        <v>Less Stock</v>
      </c>
      <c r="L293">
        <f t="shared" si="4"/>
        <v>2006.7600000000002</v>
      </c>
      <c r="M293" t="s">
        <v>983</v>
      </c>
      <c r="N293">
        <v>25</v>
      </c>
      <c r="O293" t="s">
        <v>1022</v>
      </c>
      <c r="P293" t="str">
        <f>RIGHT(RIGHT(Table2[[#This Row],[last Updated]],12),4)</f>
        <v xml:space="preserve"> PDT</v>
      </c>
      <c r="Q293" t="s">
        <v>125</v>
      </c>
    </row>
    <row r="294" spans="1:17" x14ac:dyDescent="0.25">
      <c r="A294" t="s">
        <v>253</v>
      </c>
      <c r="B294" t="str">
        <f>UPPER(Table2[[#This Row],[Brand]])</f>
        <v>TOMMY HILFIGER</v>
      </c>
      <c r="C294" t="str">
        <f>LOWER(Table2[[#This Row],[Brand]])</f>
        <v>tommy hilfiger</v>
      </c>
      <c r="D294" t="str">
        <f>PROPER(Table2[[#This Row],[Brand]])</f>
        <v>Tommy Hilfiger</v>
      </c>
      <c r="E294" t="s">
        <v>15</v>
      </c>
      <c r="F294">
        <v>31.99</v>
      </c>
      <c r="G294" t="s">
        <v>1023</v>
      </c>
      <c r="H29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$31.99</v>
      </c>
      <c r="I294" t="str">
        <f>LEFT(Table2[[#This Row],[priceWithCurrency]],3)</f>
        <v xml:space="preserve">US </v>
      </c>
      <c r="K294" t="str">
        <f>IF(Table2[[#This Row],[Available]]&lt;=50, "Less Stock", "Required stock" )</f>
        <v>Less Stock</v>
      </c>
      <c r="L294">
        <f t="shared" si="4"/>
        <v>10.19</v>
      </c>
      <c r="M294" t="s">
        <v>1024</v>
      </c>
      <c r="N294">
        <v>40</v>
      </c>
      <c r="O294" t="s">
        <v>1025</v>
      </c>
      <c r="P294" t="str">
        <f>RIGHT(RIGHT(Table2[[#This Row],[last Updated]],12),4)</f>
        <v xml:space="preserve"> PDT</v>
      </c>
      <c r="Q294" t="s">
        <v>108</v>
      </c>
    </row>
    <row r="295" spans="1:17" x14ac:dyDescent="0.25">
      <c r="A295" t="s">
        <v>799</v>
      </c>
      <c r="B295" t="str">
        <f>UPPER(Table2[[#This Row],[Brand]])</f>
        <v>CREED</v>
      </c>
      <c r="C295" t="str">
        <f>LOWER(Table2[[#This Row],[Brand]])</f>
        <v>creed</v>
      </c>
      <c r="D295" t="str">
        <f>PROPER(Table2[[#This Row],[Brand]])</f>
        <v>Creed</v>
      </c>
      <c r="E295" t="s">
        <v>4</v>
      </c>
      <c r="F295">
        <v>15.99</v>
      </c>
      <c r="G295" t="s">
        <v>67</v>
      </c>
      <c r="H29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$15.99</v>
      </c>
      <c r="I295" t="str">
        <f>LEFT(Table2[[#This Row],[priceWithCurrency]],3)</f>
        <v xml:space="preserve">US </v>
      </c>
      <c r="J295">
        <v>10</v>
      </c>
      <c r="K295" t="str">
        <f>IF(Table2[[#This Row],[Available]]&lt;=50, "Less Stock", "Required stock" )</f>
        <v>Less Stock</v>
      </c>
      <c r="L295">
        <f t="shared" si="4"/>
        <v>1958.7500000000002</v>
      </c>
      <c r="M295" t="s">
        <v>1026</v>
      </c>
      <c r="N295">
        <v>655</v>
      </c>
      <c r="O295" t="s">
        <v>1027</v>
      </c>
      <c r="P295" t="str">
        <f>RIGHT(RIGHT(Table2[[#This Row],[last Updated]],12),4)</f>
        <v xml:space="preserve"> PDT</v>
      </c>
      <c r="Q295" t="s">
        <v>480</v>
      </c>
    </row>
    <row r="296" spans="1:17" x14ac:dyDescent="0.25">
      <c r="A296" t="s">
        <v>270</v>
      </c>
      <c r="B296" t="str">
        <f>UPPER(Table2[[#This Row],[Brand]])</f>
        <v>YVES SAINT LAURENT</v>
      </c>
      <c r="C296" t="str">
        <f>LOWER(Table2[[#This Row],[Brand]])</f>
        <v>yves saint laurent</v>
      </c>
      <c r="D296" t="str">
        <f>PROPER(Table2[[#This Row],[Brand]])</f>
        <v>Yves Saint Laurent</v>
      </c>
      <c r="E296" t="s">
        <v>4</v>
      </c>
      <c r="F296">
        <v>46.48</v>
      </c>
      <c r="G296" t="s">
        <v>1028</v>
      </c>
      <c r="H29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$46.48</v>
      </c>
      <c r="I296" t="str">
        <f>LEFT(Table2[[#This Row],[priceWithCurrency]],3)</f>
        <v xml:space="preserve">US </v>
      </c>
      <c r="J296">
        <v>8</v>
      </c>
      <c r="K296" t="str">
        <f>IF(Table2[[#This Row],[Available]]&lt;=50, "Less Stock", "Required stock" )</f>
        <v>Less Stock</v>
      </c>
      <c r="L296">
        <f t="shared" si="4"/>
        <v>318.34999999999997</v>
      </c>
      <c r="M296" t="s">
        <v>1029</v>
      </c>
      <c r="N296">
        <v>7</v>
      </c>
      <c r="O296" t="s">
        <v>1030</v>
      </c>
      <c r="P296" t="str">
        <f>RIGHT(RIGHT(Table2[[#This Row],[last Updated]],12),4)</f>
        <v xml:space="preserve"> PDT</v>
      </c>
      <c r="Q296" t="s">
        <v>1031</v>
      </c>
    </row>
    <row r="297" spans="1:17" x14ac:dyDescent="0.25">
      <c r="A297" t="s">
        <v>25</v>
      </c>
      <c r="B297" t="str">
        <f>UPPER(Table2[[#This Row],[Brand]])</f>
        <v>LATTAFA</v>
      </c>
      <c r="C297" t="str">
        <f>LOWER(Table2[[#This Row],[Brand]])</f>
        <v>lattafa</v>
      </c>
      <c r="D297" t="str">
        <f>PROPER(Table2[[#This Row],[Brand]])</f>
        <v>Lattafa</v>
      </c>
      <c r="E297" t="s">
        <v>4</v>
      </c>
      <c r="F297">
        <v>18.989999999999998</v>
      </c>
      <c r="G297" t="s">
        <v>1032</v>
      </c>
      <c r="H29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$18.99</v>
      </c>
      <c r="I297" t="str">
        <f>LEFT(Table2[[#This Row],[priceWithCurrency]],3)</f>
        <v xml:space="preserve">US </v>
      </c>
      <c r="J297">
        <v>10</v>
      </c>
      <c r="K297" t="str">
        <f>IF(Table2[[#This Row],[Available]]&lt;=50, "Less Stock", "Required stock" )</f>
        <v>Less Stock</v>
      </c>
      <c r="L297">
        <f t="shared" si="4"/>
        <v>1130.56</v>
      </c>
      <c r="M297" t="s">
        <v>1033</v>
      </c>
      <c r="N297">
        <v>139</v>
      </c>
      <c r="O297" t="s">
        <v>1034</v>
      </c>
      <c r="P297" t="str">
        <f>RIGHT(RIGHT(Table2[[#This Row],[last Updated]],12),4)</f>
        <v xml:space="preserve"> PDT</v>
      </c>
      <c r="Q297" t="s">
        <v>1035</v>
      </c>
    </row>
    <row r="298" spans="1:17" x14ac:dyDescent="0.25">
      <c r="A298" t="s">
        <v>1036</v>
      </c>
      <c r="B298" t="str">
        <f>UPPER(Table2[[#This Row],[Brand]])</f>
        <v>TOM FORD</v>
      </c>
      <c r="C298" t="str">
        <f>LOWER(Table2[[#This Row],[Brand]])</f>
        <v>tom ford</v>
      </c>
      <c r="D298" t="str">
        <f>PROPER(Table2[[#This Row],[Brand]])</f>
        <v>Tom Ford</v>
      </c>
      <c r="E298" t="s">
        <v>4</v>
      </c>
      <c r="F298">
        <v>116.54</v>
      </c>
      <c r="G298" t="s">
        <v>1037</v>
      </c>
      <c r="H29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$116.54</v>
      </c>
      <c r="I298" t="str">
        <f>LEFT(Table2[[#This Row],[priceWithCurrency]],3)</f>
        <v xml:space="preserve">US </v>
      </c>
      <c r="K298" t="str">
        <f>IF(Table2[[#This Row],[Available]]&lt;=50, "Less Stock", "Required stock" )</f>
        <v>Less Stock</v>
      </c>
      <c r="L298">
        <f t="shared" si="4"/>
        <v>2036.6700000000003</v>
      </c>
      <c r="M298" t="s">
        <v>1038</v>
      </c>
      <c r="N298">
        <v>262</v>
      </c>
      <c r="O298" t="s">
        <v>1039</v>
      </c>
      <c r="P298" t="str">
        <f>RIGHT(RIGHT(Table2[[#This Row],[last Updated]],12),4)</f>
        <v xml:space="preserve"> PDT</v>
      </c>
      <c r="Q298" t="s">
        <v>108</v>
      </c>
    </row>
    <row r="299" spans="1:17" x14ac:dyDescent="0.25">
      <c r="A299" t="s">
        <v>789</v>
      </c>
      <c r="B299" t="str">
        <f>UPPER(Table2[[#This Row],[Brand]])</f>
        <v>LOUIS VUITTON</v>
      </c>
      <c r="C299" t="str">
        <f>LOWER(Table2[[#This Row],[Brand]])</f>
        <v>louis vuitton</v>
      </c>
      <c r="D299" t="str">
        <f>PROPER(Table2[[#This Row],[Brand]])</f>
        <v>Louis Vuitton</v>
      </c>
      <c r="E299" t="s">
        <v>4</v>
      </c>
      <c r="F299">
        <v>22.95</v>
      </c>
      <c r="G299" t="s">
        <v>1040</v>
      </c>
      <c r="H29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$22.95</v>
      </c>
      <c r="I299" t="str">
        <f>LEFT(Table2[[#This Row],[priceWithCurrency]],3)</f>
        <v xml:space="preserve">US </v>
      </c>
      <c r="J299">
        <v>9</v>
      </c>
      <c r="K299" t="str">
        <f>IF(Table2[[#This Row],[Available]]&lt;=50, "Less Stock", "Required stock" )</f>
        <v>Less Stock</v>
      </c>
      <c r="L299">
        <f t="shared" si="4"/>
        <v>33.5</v>
      </c>
      <c r="M299" t="s">
        <v>1041</v>
      </c>
      <c r="N299">
        <v>647</v>
      </c>
      <c r="O299" t="s">
        <v>1042</v>
      </c>
      <c r="P299" t="str">
        <f>RIGHT(RIGHT(Table2[[#This Row],[last Updated]],12),4)</f>
        <v xml:space="preserve"> PDT</v>
      </c>
      <c r="Q299" t="s">
        <v>793</v>
      </c>
    </row>
    <row r="300" spans="1:17" x14ac:dyDescent="0.25">
      <c r="A300" t="s">
        <v>724</v>
      </c>
      <c r="B300" t="str">
        <f>UPPER(Table2[[#This Row],[Brand]])</f>
        <v>BHARARA</v>
      </c>
      <c r="C300" t="str">
        <f>LOWER(Table2[[#This Row],[Brand]])</f>
        <v>bharara</v>
      </c>
      <c r="D300" t="str">
        <f>PROPER(Table2[[#This Row],[Brand]])</f>
        <v>Bharara</v>
      </c>
      <c r="E300" t="s">
        <v>32</v>
      </c>
      <c r="F300">
        <v>71.489999999999995</v>
      </c>
      <c r="G300" t="s">
        <v>1043</v>
      </c>
      <c r="H30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$71.49</v>
      </c>
      <c r="I300" t="str">
        <f>LEFT(Table2[[#This Row],[priceWithCurrency]],3)</f>
        <v xml:space="preserve">US </v>
      </c>
      <c r="J300">
        <v>4</v>
      </c>
      <c r="K300" t="str">
        <f>IF(Table2[[#This Row],[Available]]&lt;=50, "Less Stock", "Required stock" )</f>
        <v>Less Stock</v>
      </c>
      <c r="L300">
        <f t="shared" si="4"/>
        <v>2081.6600000000003</v>
      </c>
      <c r="M300" t="s">
        <v>1044</v>
      </c>
      <c r="N300">
        <v>31</v>
      </c>
      <c r="O300" t="s">
        <v>1045</v>
      </c>
      <c r="P300" t="str">
        <f>RIGHT(RIGHT(Table2[[#This Row],[last Updated]],12),4)</f>
        <v xml:space="preserve"> PDT</v>
      </c>
      <c r="Q300" t="s">
        <v>438</v>
      </c>
    </row>
    <row r="301" spans="1:17" x14ac:dyDescent="0.25">
      <c r="A301" t="s">
        <v>554</v>
      </c>
      <c r="B301" t="str">
        <f>UPPER(Table2[[#This Row],[Brand]])</f>
        <v>DAVIDOFF</v>
      </c>
      <c r="C301" t="str">
        <f>LOWER(Table2[[#This Row],[Brand]])</f>
        <v>davidoff</v>
      </c>
      <c r="D301" t="str">
        <f>PROPER(Table2[[#This Row],[Brand]])</f>
        <v>Davidoff</v>
      </c>
      <c r="E301" t="s">
        <v>15</v>
      </c>
      <c r="F301">
        <v>24.49</v>
      </c>
      <c r="G301" t="s">
        <v>1046</v>
      </c>
      <c r="H30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$24.49</v>
      </c>
      <c r="I301" t="str">
        <f>LEFT(Table2[[#This Row],[priceWithCurrency]],3)</f>
        <v xml:space="preserve">US </v>
      </c>
      <c r="J301">
        <v>4</v>
      </c>
      <c r="K301" t="str">
        <f>IF(Table2[[#This Row],[Available]]&lt;=50, "Less Stock", "Required stock" )</f>
        <v>Less Stock</v>
      </c>
      <c r="L301">
        <f t="shared" si="4"/>
        <v>998.21999999999991</v>
      </c>
      <c r="M301" t="s">
        <v>1047</v>
      </c>
      <c r="N301">
        <v>71</v>
      </c>
      <c r="O301" t="s">
        <v>1048</v>
      </c>
      <c r="P301" t="str">
        <f>RIGHT(RIGHT(Table2[[#This Row],[last Updated]],12),4)</f>
        <v xml:space="preserve"> PDT</v>
      </c>
      <c r="Q301" t="s">
        <v>275</v>
      </c>
    </row>
    <row r="302" spans="1:17" x14ac:dyDescent="0.25">
      <c r="A302" t="s">
        <v>14</v>
      </c>
      <c r="B302" t="str">
        <f>UPPER(Table2[[#This Row],[Brand]])</f>
        <v>UNBRANDED</v>
      </c>
      <c r="C302" t="str">
        <f>LOWER(Table2[[#This Row],[Brand]])</f>
        <v>unbranded</v>
      </c>
      <c r="D302" t="str">
        <f>PROPER(Table2[[#This Row],[Brand]])</f>
        <v>Unbranded</v>
      </c>
      <c r="E302" t="s">
        <v>32</v>
      </c>
      <c r="F302">
        <v>15.99</v>
      </c>
      <c r="G302" t="s">
        <v>67</v>
      </c>
      <c r="H30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$15.99</v>
      </c>
      <c r="I302" t="str">
        <f>LEFT(Table2[[#This Row],[priceWithCurrency]],3)</f>
        <v xml:space="preserve">US </v>
      </c>
      <c r="J302">
        <v>10</v>
      </c>
      <c r="K302" t="str">
        <f>IF(Table2[[#This Row],[Available]]&lt;=50, "Less Stock", "Required stock" )</f>
        <v>Less Stock</v>
      </c>
      <c r="L302">
        <f t="shared" si="4"/>
        <v>2042.6900000000005</v>
      </c>
      <c r="M302" t="s">
        <v>572</v>
      </c>
      <c r="N302">
        <v>7</v>
      </c>
      <c r="O302" t="s">
        <v>1049</v>
      </c>
      <c r="P302" t="str">
        <f>RIGHT(RIGHT(Table2[[#This Row],[last Updated]],12),4)</f>
        <v xml:space="preserve"> PDT</v>
      </c>
      <c r="Q302" t="s">
        <v>36</v>
      </c>
    </row>
    <row r="303" spans="1:17" x14ac:dyDescent="0.25">
      <c r="A303" t="s">
        <v>56</v>
      </c>
      <c r="B303" t="str">
        <f>UPPER(Table2[[#This Row],[Brand]])</f>
        <v>RALPH LAUREN</v>
      </c>
      <c r="C303" t="str">
        <f>LOWER(Table2[[#This Row],[Brand]])</f>
        <v>ralph lauren</v>
      </c>
      <c r="D303" t="str">
        <f>PROPER(Table2[[#This Row],[Brand]])</f>
        <v>Ralph Lauren</v>
      </c>
      <c r="E303" t="s">
        <v>15</v>
      </c>
      <c r="F303">
        <v>34.99</v>
      </c>
      <c r="G303" t="s">
        <v>57</v>
      </c>
      <c r="H30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$34.99</v>
      </c>
      <c r="I303" t="str">
        <f>LEFT(Table2[[#This Row],[priceWithCurrency]],3)</f>
        <v xml:space="preserve">US </v>
      </c>
      <c r="J303">
        <v>10</v>
      </c>
      <c r="K303" t="str">
        <f>IF(Table2[[#This Row],[Available]]&lt;=50, "Less Stock", "Required stock" )</f>
        <v>Less Stock</v>
      </c>
      <c r="L303">
        <f t="shared" si="4"/>
        <v>112.49</v>
      </c>
      <c r="M303" t="s">
        <v>1050</v>
      </c>
      <c r="N303">
        <v>457</v>
      </c>
      <c r="O303" t="s">
        <v>1051</v>
      </c>
      <c r="P303" t="str">
        <f>RIGHT(RIGHT(Table2[[#This Row],[last Updated]],12),4)</f>
        <v xml:space="preserve"> PDT</v>
      </c>
      <c r="Q303" t="s">
        <v>406</v>
      </c>
    </row>
    <row r="304" spans="1:17" x14ac:dyDescent="0.25">
      <c r="A304" t="s">
        <v>335</v>
      </c>
      <c r="B304" t="str">
        <f>UPPER(Table2[[#This Row],[Brand]])</f>
        <v>COLOGNE</v>
      </c>
      <c r="C304" t="str">
        <f>LOWER(Table2[[#This Row],[Brand]])</f>
        <v>cologne</v>
      </c>
      <c r="D304" t="str">
        <f>PROPER(Table2[[#This Row],[Brand]])</f>
        <v>Cologne</v>
      </c>
      <c r="E304" t="s">
        <v>374</v>
      </c>
      <c r="F304">
        <v>41.99</v>
      </c>
      <c r="G304" t="s">
        <v>1052</v>
      </c>
      <c r="H30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$41.99</v>
      </c>
      <c r="I304" t="str">
        <f>LEFT(Table2[[#This Row],[priceWithCurrency]],3)</f>
        <v xml:space="preserve">US </v>
      </c>
      <c r="J304">
        <v>10</v>
      </c>
      <c r="K304" t="str">
        <f>IF(Table2[[#This Row],[Available]]&lt;=50, "Less Stock", "Required stock" )</f>
        <v>Less Stock</v>
      </c>
      <c r="L304">
        <f t="shared" si="4"/>
        <v>1020.2199999999999</v>
      </c>
      <c r="M304" t="s">
        <v>1053</v>
      </c>
      <c r="N304">
        <v>15</v>
      </c>
      <c r="O304" t="s">
        <v>1054</v>
      </c>
      <c r="P304" t="str">
        <f>RIGHT(RIGHT(Table2[[#This Row],[last Updated]],12),4)</f>
        <v xml:space="preserve"> PDT</v>
      </c>
      <c r="Q304" t="s">
        <v>1055</v>
      </c>
    </row>
    <row r="305" spans="1:17" x14ac:dyDescent="0.25">
      <c r="A305" t="s">
        <v>1056</v>
      </c>
      <c r="B305" t="str">
        <f>UPPER(Table2[[#This Row],[Brand]])</f>
        <v>AL WATANIAH</v>
      </c>
      <c r="C305" t="str">
        <f>LOWER(Table2[[#This Row],[Brand]])</f>
        <v>al wataniah</v>
      </c>
      <c r="D305" t="str">
        <f>PROPER(Table2[[#This Row],[Brand]])</f>
        <v>Al Wataniah</v>
      </c>
      <c r="E305" t="s">
        <v>4</v>
      </c>
      <c r="F305">
        <v>35</v>
      </c>
      <c r="G305" t="s">
        <v>1057</v>
      </c>
      <c r="H30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$35.00</v>
      </c>
      <c r="I305" t="str">
        <f>LEFT(Table2[[#This Row],[priceWithCurrency]],3)</f>
        <v xml:space="preserve">US </v>
      </c>
      <c r="J305">
        <v>10</v>
      </c>
      <c r="K305" t="str">
        <f>IF(Table2[[#This Row],[Available]]&lt;=50, "Less Stock", "Required stock" )</f>
        <v>Less Stock</v>
      </c>
      <c r="L305">
        <f t="shared" si="4"/>
        <v>2008.7000000000003</v>
      </c>
      <c r="M305" t="s">
        <v>1058</v>
      </c>
      <c r="N305">
        <v>36</v>
      </c>
      <c r="O305" t="s">
        <v>1059</v>
      </c>
      <c r="P305" t="str">
        <f>RIGHT(RIGHT(Table2[[#This Row],[last Updated]],12),4)</f>
        <v xml:space="preserve"> PDT</v>
      </c>
      <c r="Q305" t="s">
        <v>41</v>
      </c>
    </row>
    <row r="306" spans="1:17" x14ac:dyDescent="0.25">
      <c r="A306" t="s">
        <v>476</v>
      </c>
      <c r="B306" t="str">
        <f>UPPER(Table2[[#This Row],[Brand]])</f>
        <v>HERMÈS</v>
      </c>
      <c r="C306" t="str">
        <f>LOWER(Table2[[#This Row],[Brand]])</f>
        <v>hermès</v>
      </c>
      <c r="D306" t="str">
        <f>PROPER(Table2[[#This Row],[Brand]])</f>
        <v>Hermès</v>
      </c>
      <c r="E306" t="s">
        <v>4</v>
      </c>
      <c r="F306">
        <v>8.49</v>
      </c>
      <c r="G306" t="s">
        <v>1060</v>
      </c>
      <c r="H30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$8.49</v>
      </c>
      <c r="I306" t="str">
        <f>LEFT(Table2[[#This Row],[priceWithCurrency]],3)</f>
        <v xml:space="preserve">US </v>
      </c>
      <c r="J306">
        <v>5</v>
      </c>
      <c r="K306" t="str">
        <f>IF(Table2[[#This Row],[Available]]&lt;=50, "Less Stock", "Required stock" )</f>
        <v>Less Stock</v>
      </c>
      <c r="L306">
        <f t="shared" si="4"/>
        <v>1047.98</v>
      </c>
      <c r="M306" t="s">
        <v>1061</v>
      </c>
      <c r="N306">
        <v>131</v>
      </c>
      <c r="O306" t="s">
        <v>1062</v>
      </c>
      <c r="P306" t="str">
        <f>RIGHT(RIGHT(Table2[[#This Row],[last Updated]],12),4)</f>
        <v xml:space="preserve"> PDT</v>
      </c>
      <c r="Q306" t="s">
        <v>894</v>
      </c>
    </row>
    <row r="307" spans="1:17" x14ac:dyDescent="0.25">
      <c r="A307" t="s">
        <v>56</v>
      </c>
      <c r="B307" t="str">
        <f>UPPER(Table2[[#This Row],[Brand]])</f>
        <v>RALPH LAUREN</v>
      </c>
      <c r="C307" t="str">
        <f>LOWER(Table2[[#This Row],[Brand]])</f>
        <v>ralph lauren</v>
      </c>
      <c r="D307" t="str">
        <f>PROPER(Table2[[#This Row],[Brand]])</f>
        <v>Ralph Lauren</v>
      </c>
      <c r="E307" t="s">
        <v>15</v>
      </c>
      <c r="F307">
        <v>31.99</v>
      </c>
      <c r="G307" t="s">
        <v>809</v>
      </c>
      <c r="H30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$31.99</v>
      </c>
      <c r="I307" t="str">
        <f>LEFT(Table2[[#This Row],[priceWithCurrency]],3)</f>
        <v xml:space="preserve">US </v>
      </c>
      <c r="J307">
        <v>10</v>
      </c>
      <c r="K307" t="str">
        <f>IF(Table2[[#This Row],[Available]]&lt;=50, "Less Stock", "Required stock" )</f>
        <v>Less Stock</v>
      </c>
      <c r="L307">
        <f t="shared" si="4"/>
        <v>2112.3200000000002</v>
      </c>
      <c r="M307" t="s">
        <v>1063</v>
      </c>
      <c r="N307">
        <v>103</v>
      </c>
      <c r="O307" t="s">
        <v>1064</v>
      </c>
      <c r="P307" t="str">
        <f>RIGHT(RIGHT(Table2[[#This Row],[last Updated]],12),4)</f>
        <v xml:space="preserve"> PDT</v>
      </c>
      <c r="Q307" t="s">
        <v>919</v>
      </c>
    </row>
    <row r="308" spans="1:17" x14ac:dyDescent="0.25">
      <c r="A308" t="s">
        <v>51</v>
      </c>
      <c r="B308" t="str">
        <f>UPPER(Table2[[#This Row],[Brand]])</f>
        <v>GUCCI</v>
      </c>
      <c r="C308" t="str">
        <f>LOWER(Table2[[#This Row],[Brand]])</f>
        <v>gucci</v>
      </c>
      <c r="D308" t="str">
        <f>PROPER(Table2[[#This Row],[Brand]])</f>
        <v>Gucci</v>
      </c>
      <c r="E308" t="s">
        <v>4</v>
      </c>
      <c r="F308">
        <v>49.99</v>
      </c>
      <c r="G308" t="s">
        <v>52</v>
      </c>
      <c r="H30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$49.99</v>
      </c>
      <c r="I308" t="str">
        <f>LEFT(Table2[[#This Row],[priceWithCurrency]],3)</f>
        <v xml:space="preserve">US </v>
      </c>
      <c r="J308">
        <v>10</v>
      </c>
      <c r="K308" t="str">
        <f>IF(Table2[[#This Row],[Available]]&lt;=50, "Less Stock", "Required stock" )</f>
        <v>Less Stock</v>
      </c>
      <c r="L308">
        <f t="shared" si="4"/>
        <v>2042.7700000000002</v>
      </c>
      <c r="M308" t="s">
        <v>1065</v>
      </c>
      <c r="N308">
        <v>78</v>
      </c>
      <c r="O308" t="s">
        <v>1066</v>
      </c>
      <c r="P308" t="str">
        <f>RIGHT(RIGHT(Table2[[#This Row],[last Updated]],12),4)</f>
        <v xml:space="preserve"> PDT</v>
      </c>
      <c r="Q308" t="s">
        <v>406</v>
      </c>
    </row>
    <row r="309" spans="1:17" x14ac:dyDescent="0.25">
      <c r="A309" t="s">
        <v>885</v>
      </c>
      <c r="B309" t="str">
        <f>UPPER(Table2[[#This Row],[Brand]])</f>
        <v>JOOP</v>
      </c>
      <c r="C309" t="str">
        <f>LOWER(Table2[[#This Row],[Brand]])</f>
        <v>joop</v>
      </c>
      <c r="D309" t="str">
        <f>PROPER(Table2[[#This Row],[Brand]])</f>
        <v>Joop</v>
      </c>
      <c r="E309" t="s">
        <v>26</v>
      </c>
      <c r="F309">
        <v>23.49</v>
      </c>
      <c r="G309" t="s">
        <v>957</v>
      </c>
      <c r="H30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$23.49</v>
      </c>
      <c r="I309" t="str">
        <f>LEFT(Table2[[#This Row],[priceWithCurrency]],3)</f>
        <v xml:space="preserve">US </v>
      </c>
      <c r="K309" t="str">
        <f>IF(Table2[[#This Row],[Available]]&lt;=50, "Less Stock", "Required stock" )</f>
        <v>Less Stock</v>
      </c>
      <c r="L309">
        <f t="shared" si="4"/>
        <v>205.88</v>
      </c>
      <c r="M309" t="s">
        <v>1067</v>
      </c>
      <c r="N309">
        <v>29</v>
      </c>
      <c r="O309" t="s">
        <v>1068</v>
      </c>
      <c r="P309" t="str">
        <f>RIGHT(RIGHT(Table2[[#This Row],[last Updated]],12),4)</f>
        <v xml:space="preserve"> PDT</v>
      </c>
      <c r="Q309" t="s">
        <v>30</v>
      </c>
    </row>
    <row r="310" spans="1:17" x14ac:dyDescent="0.25">
      <c r="A310" t="s">
        <v>504</v>
      </c>
      <c r="B310" t="str">
        <f>UPPER(Table2[[#This Row],[Brand]])</f>
        <v>BURBERRY</v>
      </c>
      <c r="C310" t="str">
        <f>LOWER(Table2[[#This Row],[Brand]])</f>
        <v>burberry</v>
      </c>
      <c r="D310" t="str">
        <f>PROPER(Table2[[#This Row],[Brand]])</f>
        <v>Burberry</v>
      </c>
      <c r="E310" t="s">
        <v>15</v>
      </c>
      <c r="F310">
        <v>30.95</v>
      </c>
      <c r="G310" t="s">
        <v>1069</v>
      </c>
      <c r="H31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$30.95</v>
      </c>
      <c r="I310" t="str">
        <f>LEFT(Table2[[#This Row],[priceWithCurrency]],3)</f>
        <v xml:space="preserve">US </v>
      </c>
      <c r="J310">
        <v>6</v>
      </c>
      <c r="K310" t="str">
        <f>IF(Table2[[#This Row],[Available]]&lt;=50, "Less Stock", "Required stock" )</f>
        <v>Less Stock</v>
      </c>
      <c r="L310">
        <f t="shared" si="4"/>
        <v>44</v>
      </c>
      <c r="M310" t="s">
        <v>1070</v>
      </c>
      <c r="N310">
        <v>36</v>
      </c>
      <c r="O310" t="s">
        <v>1071</v>
      </c>
      <c r="P310" t="str">
        <f>RIGHT(RIGHT(Table2[[#This Row],[last Updated]],12),4)</f>
        <v xml:space="preserve"> PDT</v>
      </c>
      <c r="Q310" t="s">
        <v>55</v>
      </c>
    </row>
    <row r="311" spans="1:17" x14ac:dyDescent="0.25">
      <c r="A311" t="s">
        <v>529</v>
      </c>
      <c r="B311" t="str">
        <f>UPPER(Table2[[#This Row],[Brand]])</f>
        <v>ARAMIS</v>
      </c>
      <c r="C311" t="str">
        <f>LOWER(Table2[[#This Row],[Brand]])</f>
        <v>aramis</v>
      </c>
      <c r="D311" t="str">
        <f>PROPER(Table2[[#This Row],[Brand]])</f>
        <v>Aramis</v>
      </c>
      <c r="E311" t="s">
        <v>15</v>
      </c>
      <c r="F311">
        <v>19.989999999999998</v>
      </c>
      <c r="G311" t="s">
        <v>1072</v>
      </c>
      <c r="H31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$19.99</v>
      </c>
      <c r="I311" t="str">
        <f>LEFT(Table2[[#This Row],[priceWithCurrency]],3)</f>
        <v xml:space="preserve">US </v>
      </c>
      <c r="J311">
        <v>3</v>
      </c>
      <c r="K311" t="str">
        <f>IF(Table2[[#This Row],[Available]]&lt;=50, "Less Stock", "Required stock" )</f>
        <v>Less Stock</v>
      </c>
      <c r="L311">
        <f t="shared" si="4"/>
        <v>1045.0999999999999</v>
      </c>
      <c r="M311" t="s">
        <v>1073</v>
      </c>
      <c r="N311">
        <v>8</v>
      </c>
      <c r="O311" t="s">
        <v>1074</v>
      </c>
      <c r="P311" t="str">
        <f>RIGHT(RIGHT(Table2[[#This Row],[last Updated]],12),4)</f>
        <v xml:space="preserve"> PDT</v>
      </c>
      <c r="Q311" t="s">
        <v>1075</v>
      </c>
    </row>
    <row r="312" spans="1:17" x14ac:dyDescent="0.25">
      <c r="A312" t="s">
        <v>1076</v>
      </c>
      <c r="B312" t="str">
        <f>UPPER(Table2[[#This Row],[Brand]])</f>
        <v>MACARENA</v>
      </c>
      <c r="C312" t="str">
        <f>LOWER(Table2[[#This Row],[Brand]])</f>
        <v>macarena</v>
      </c>
      <c r="D312" t="str">
        <f>PROPER(Table2[[#This Row],[Brand]])</f>
        <v>Macarena</v>
      </c>
      <c r="E312" t="s">
        <v>4</v>
      </c>
      <c r="F312">
        <v>19.989999999999998</v>
      </c>
      <c r="G312" t="s">
        <v>1072</v>
      </c>
      <c r="H31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$19.99</v>
      </c>
      <c r="I312" t="str">
        <f>LEFT(Table2[[#This Row],[priceWithCurrency]],3)</f>
        <v xml:space="preserve">US </v>
      </c>
      <c r="J312">
        <v>10</v>
      </c>
      <c r="K312" t="str">
        <f>IF(Table2[[#This Row],[Available]]&lt;=50, "Less Stock", "Required stock" )</f>
        <v>Less Stock</v>
      </c>
      <c r="L312">
        <f t="shared" si="4"/>
        <v>74.989999999999995</v>
      </c>
      <c r="M312" t="s">
        <v>1077</v>
      </c>
      <c r="N312">
        <v>122</v>
      </c>
      <c r="O312" t="s">
        <v>1078</v>
      </c>
      <c r="P312" t="str">
        <f>RIGHT(RIGHT(Table2[[#This Row],[last Updated]],12),4)</f>
        <v xml:space="preserve"> PDT</v>
      </c>
      <c r="Q312" t="s">
        <v>973</v>
      </c>
    </row>
    <row r="313" spans="1:17" x14ac:dyDescent="0.25">
      <c r="A313" t="s">
        <v>1079</v>
      </c>
      <c r="B313" t="str">
        <f>UPPER(Table2[[#This Row],[Brand]])</f>
        <v>BENTLEY</v>
      </c>
      <c r="C313" t="str">
        <f>LOWER(Table2[[#This Row],[Brand]])</f>
        <v>bentley</v>
      </c>
      <c r="D313" t="str">
        <f>PROPER(Table2[[#This Row],[Brand]])</f>
        <v>Bentley</v>
      </c>
      <c r="E313" t="s">
        <v>4</v>
      </c>
      <c r="F313">
        <v>29.12</v>
      </c>
      <c r="G313" t="s">
        <v>1080</v>
      </c>
      <c r="H31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$29.12</v>
      </c>
      <c r="I313" t="str">
        <f>LEFT(Table2[[#This Row],[priceWithCurrency]],3)</f>
        <v xml:space="preserve">US </v>
      </c>
      <c r="K313" t="str">
        <f>IF(Table2[[#This Row],[Available]]&lt;=50, "Less Stock", "Required stock" )</f>
        <v>Less Stock</v>
      </c>
      <c r="L313">
        <f t="shared" si="4"/>
        <v>1913.0400000000004</v>
      </c>
      <c r="M313" t="s">
        <v>1081</v>
      </c>
      <c r="N313">
        <v>5145</v>
      </c>
      <c r="O313" t="s">
        <v>1082</v>
      </c>
      <c r="P313" t="str">
        <f>RIGHT(RIGHT(Table2[[#This Row],[last Updated]],12),4)</f>
        <v xml:space="preserve"> PDT</v>
      </c>
      <c r="Q313" t="s">
        <v>108</v>
      </c>
    </row>
    <row r="314" spans="1:17" x14ac:dyDescent="0.25">
      <c r="A314" t="s">
        <v>76</v>
      </c>
      <c r="B314" t="str">
        <f>UPPER(Table2[[#This Row],[Brand]])</f>
        <v>VERSACE</v>
      </c>
      <c r="C314" t="str">
        <f>LOWER(Table2[[#This Row],[Brand]])</f>
        <v>versace</v>
      </c>
      <c r="D314" t="str">
        <f>PROPER(Table2[[#This Row],[Brand]])</f>
        <v>Versace</v>
      </c>
      <c r="E314" t="s">
        <v>15</v>
      </c>
      <c r="F314">
        <v>39.99</v>
      </c>
      <c r="G314" t="s">
        <v>514</v>
      </c>
      <c r="H31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$39.99</v>
      </c>
      <c r="I314" t="str">
        <f>LEFT(Table2[[#This Row],[priceWithCurrency]],3)</f>
        <v xml:space="preserve">US </v>
      </c>
      <c r="J314">
        <v>3</v>
      </c>
      <c r="K314" t="str">
        <f>IF(Table2[[#This Row],[Available]]&lt;=50, "Less Stock", "Required stock" )</f>
        <v>Less Stock</v>
      </c>
      <c r="L314">
        <f t="shared" si="4"/>
        <v>1913.0400000000004</v>
      </c>
      <c r="M314" t="s">
        <v>781</v>
      </c>
      <c r="N314">
        <v>4</v>
      </c>
      <c r="O314" t="s">
        <v>1083</v>
      </c>
      <c r="P314" t="str">
        <f>RIGHT(RIGHT(Table2[[#This Row],[last Updated]],12),4)</f>
        <v xml:space="preserve"> PDT</v>
      </c>
      <c r="Q314" t="s">
        <v>1084</v>
      </c>
    </row>
    <row r="315" spans="1:17" x14ac:dyDescent="0.25">
      <c r="A315" t="s">
        <v>20</v>
      </c>
      <c r="B315" t="str">
        <f>UPPER(Table2[[#This Row],[Brand]])</f>
        <v>GIORGIO ARMANI</v>
      </c>
      <c r="C315" t="str">
        <f>LOWER(Table2[[#This Row],[Brand]])</f>
        <v>giorgio armani</v>
      </c>
      <c r="D315" t="str">
        <f>PROPER(Table2[[#This Row],[Brand]])</f>
        <v>Giorgio Armani</v>
      </c>
      <c r="E315" t="s">
        <v>15</v>
      </c>
      <c r="F315">
        <v>38.25</v>
      </c>
      <c r="G315" t="s">
        <v>1085</v>
      </c>
      <c r="H31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$38.25</v>
      </c>
      <c r="I315" t="str">
        <f>LEFT(Table2[[#This Row],[priceWithCurrency]],3)</f>
        <v xml:space="preserve">US </v>
      </c>
      <c r="J315">
        <v>10</v>
      </c>
      <c r="K315" t="str">
        <f>IF(Table2[[#This Row],[Available]]&lt;=50, "Less Stock", "Required stock" )</f>
        <v>Less Stock</v>
      </c>
      <c r="L315">
        <f t="shared" si="4"/>
        <v>1885.6400000000003</v>
      </c>
      <c r="M315" t="s">
        <v>1086</v>
      </c>
      <c r="N315">
        <v>363</v>
      </c>
      <c r="O315" t="s">
        <v>1087</v>
      </c>
      <c r="P315" t="str">
        <f>RIGHT(RIGHT(Table2[[#This Row],[last Updated]],12),4)</f>
        <v xml:space="preserve"> PDT</v>
      </c>
      <c r="Q315" t="s">
        <v>60</v>
      </c>
    </row>
    <row r="316" spans="1:17" x14ac:dyDescent="0.25">
      <c r="A316" t="s">
        <v>20</v>
      </c>
      <c r="B316" t="str">
        <f>UPPER(Table2[[#This Row],[Brand]])</f>
        <v>GIORGIO ARMANI</v>
      </c>
      <c r="C316" t="str">
        <f>LOWER(Table2[[#This Row],[Brand]])</f>
        <v>giorgio armani</v>
      </c>
      <c r="D316" t="str">
        <f>PROPER(Table2[[#This Row],[Brand]])</f>
        <v>Giorgio Armani</v>
      </c>
      <c r="E316" t="s">
        <v>15</v>
      </c>
      <c r="F316">
        <v>48.95</v>
      </c>
      <c r="G316" t="s">
        <v>1088</v>
      </c>
      <c r="H31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$48.95</v>
      </c>
      <c r="I316" t="str">
        <f>LEFT(Table2[[#This Row],[priceWithCurrency]],3)</f>
        <v xml:space="preserve">US </v>
      </c>
      <c r="J316">
        <v>10</v>
      </c>
      <c r="K316" t="str">
        <f>IF(Table2[[#This Row],[Available]]&lt;=50, "Less Stock", "Required stock" )</f>
        <v>Less Stock</v>
      </c>
      <c r="L316">
        <f t="shared" si="4"/>
        <v>1867.6600000000003</v>
      </c>
      <c r="M316" t="s">
        <v>1089</v>
      </c>
      <c r="N316">
        <v>969</v>
      </c>
      <c r="O316" t="s">
        <v>1090</v>
      </c>
      <c r="P316" t="str">
        <f>RIGHT(RIGHT(Table2[[#This Row],[last Updated]],12),4)</f>
        <v xml:space="preserve"> PDT</v>
      </c>
      <c r="Q316" t="s">
        <v>406</v>
      </c>
    </row>
    <row r="317" spans="1:17" x14ac:dyDescent="0.25">
      <c r="A317" t="s">
        <v>126</v>
      </c>
      <c r="B317" t="str">
        <f>UPPER(Table2[[#This Row],[Brand]])</f>
        <v>AZZARO</v>
      </c>
      <c r="C317" t="str">
        <f>LOWER(Table2[[#This Row],[Brand]])</f>
        <v>azzaro</v>
      </c>
      <c r="D317" t="str">
        <f>PROPER(Table2[[#This Row],[Brand]])</f>
        <v>Azzaro</v>
      </c>
      <c r="E317" t="s">
        <v>4</v>
      </c>
      <c r="F317">
        <v>93.05</v>
      </c>
      <c r="G317" t="s">
        <v>1091</v>
      </c>
      <c r="H31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$93.05</v>
      </c>
      <c r="I317" t="str">
        <f>LEFT(Table2[[#This Row],[priceWithCurrency]],3)</f>
        <v xml:space="preserve">US </v>
      </c>
      <c r="J317">
        <v>3</v>
      </c>
      <c r="K317" t="str">
        <f>IF(Table2[[#This Row],[Available]]&lt;=50, "Less Stock", "Required stock" )</f>
        <v>Less Stock</v>
      </c>
      <c r="L317">
        <f t="shared" si="4"/>
        <v>990.80000000000007</v>
      </c>
      <c r="M317" t="s">
        <v>1092</v>
      </c>
      <c r="N317">
        <v>21</v>
      </c>
      <c r="O317" t="s">
        <v>1093</v>
      </c>
      <c r="P317" t="str">
        <f>RIGHT(RIGHT(Table2[[#This Row],[last Updated]],12),4)</f>
        <v xml:space="preserve"> PDT</v>
      </c>
      <c r="Q317" t="s">
        <v>30</v>
      </c>
    </row>
    <row r="318" spans="1:17" x14ac:dyDescent="0.25">
      <c r="A318" t="s">
        <v>159</v>
      </c>
      <c r="B318" t="str">
        <f>UPPER(Table2[[#This Row],[Brand]])</f>
        <v>VALENTINO</v>
      </c>
      <c r="C318" t="str">
        <f>LOWER(Table2[[#This Row],[Brand]])</f>
        <v>valentino</v>
      </c>
      <c r="D318" t="str">
        <f>PROPER(Table2[[#This Row],[Brand]])</f>
        <v>Valentino</v>
      </c>
      <c r="E318" t="s">
        <v>15</v>
      </c>
      <c r="F318">
        <v>36.99</v>
      </c>
      <c r="G318" t="s">
        <v>909</v>
      </c>
      <c r="H31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$36.99</v>
      </c>
      <c r="I318" t="str">
        <f>LEFT(Table2[[#This Row],[priceWithCurrency]],3)</f>
        <v xml:space="preserve">US </v>
      </c>
      <c r="K318" t="str">
        <f>IF(Table2[[#This Row],[Available]]&lt;=50, "Less Stock", "Required stock" )</f>
        <v>Less Stock</v>
      </c>
      <c r="L318">
        <f t="shared" si="4"/>
        <v>1843.1100000000006</v>
      </c>
      <c r="M318" t="s">
        <v>349</v>
      </c>
      <c r="N318">
        <v>32</v>
      </c>
      <c r="O318" t="s">
        <v>1094</v>
      </c>
      <c r="P318" t="str">
        <f>RIGHT(RIGHT(Table2[[#This Row],[last Updated]],12),4)</f>
        <v xml:space="preserve"> PDT</v>
      </c>
      <c r="Q318" t="s">
        <v>503</v>
      </c>
    </row>
    <row r="319" spans="1:17" x14ac:dyDescent="0.25">
      <c r="A319" t="s">
        <v>90</v>
      </c>
      <c r="B319" t="str">
        <f>UPPER(Table2[[#This Row],[Brand]])</f>
        <v>ARMAF</v>
      </c>
      <c r="C319" t="str">
        <f>LOWER(Table2[[#This Row],[Brand]])</f>
        <v>armaf</v>
      </c>
      <c r="D319" t="str">
        <f>PROPER(Table2[[#This Row],[Brand]])</f>
        <v>Armaf</v>
      </c>
      <c r="E319" t="s">
        <v>4</v>
      </c>
      <c r="F319">
        <v>27.5</v>
      </c>
      <c r="G319" t="s">
        <v>1095</v>
      </c>
      <c r="H31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$27.50</v>
      </c>
      <c r="I319" t="str">
        <f>LEFT(Table2[[#This Row],[priceWithCurrency]],3)</f>
        <v xml:space="preserve">US </v>
      </c>
      <c r="J319">
        <v>10</v>
      </c>
      <c r="K319" t="str">
        <f>IF(Table2[[#This Row],[Available]]&lt;=50, "Less Stock", "Required stock" )</f>
        <v>Less Stock</v>
      </c>
      <c r="L319">
        <f t="shared" si="4"/>
        <v>263.74</v>
      </c>
      <c r="M319" t="s">
        <v>1096</v>
      </c>
      <c r="N319">
        <v>427</v>
      </c>
      <c r="O319" t="s">
        <v>1097</v>
      </c>
      <c r="P319" t="str">
        <f>RIGHT(RIGHT(Table2[[#This Row],[last Updated]],12),4)</f>
        <v xml:space="preserve"> PDT</v>
      </c>
      <c r="Q319" t="s">
        <v>226</v>
      </c>
    </row>
    <row r="320" spans="1:17" x14ac:dyDescent="0.25">
      <c r="A320" t="s">
        <v>1098</v>
      </c>
      <c r="B320" t="str">
        <f>UPPER(Table2[[#This Row],[Brand]])</f>
        <v>COACH</v>
      </c>
      <c r="C320" t="str">
        <f>LOWER(Table2[[#This Row],[Brand]])</f>
        <v>coach</v>
      </c>
      <c r="D320" t="str">
        <f>PROPER(Table2[[#This Row],[Brand]])</f>
        <v>Coach</v>
      </c>
      <c r="E320" t="s">
        <v>15</v>
      </c>
      <c r="F320">
        <v>36.15</v>
      </c>
      <c r="G320" t="s">
        <v>1099</v>
      </c>
      <c r="H32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$36.15</v>
      </c>
      <c r="I320" t="str">
        <f>LEFT(Table2[[#This Row],[priceWithCurrency]],3)</f>
        <v xml:space="preserve">US </v>
      </c>
      <c r="J320">
        <v>487</v>
      </c>
      <c r="K320" t="str">
        <f>IF(Table2[[#This Row],[Available]]&lt;=50, "Less Stock", "Required stock" )</f>
        <v>Required stock</v>
      </c>
      <c r="L320">
        <f t="shared" si="4"/>
        <v>218.88</v>
      </c>
      <c r="M320" t="s">
        <v>1100</v>
      </c>
      <c r="N320">
        <v>7592</v>
      </c>
      <c r="O320" t="s">
        <v>1101</v>
      </c>
      <c r="P320" t="str">
        <f>RIGHT(RIGHT(Table2[[#This Row],[last Updated]],12),4)</f>
        <v xml:space="preserve"> PDT</v>
      </c>
      <c r="Q320" t="s">
        <v>121</v>
      </c>
    </row>
    <row r="321" spans="1:17" x14ac:dyDescent="0.25">
      <c r="A321" t="s">
        <v>56</v>
      </c>
      <c r="B321" t="str">
        <f>UPPER(Table2[[#This Row],[Brand]])</f>
        <v>RALPH LAUREN</v>
      </c>
      <c r="C321" t="str">
        <f>LOWER(Table2[[#This Row],[Brand]])</f>
        <v>ralph lauren</v>
      </c>
      <c r="D321" t="str">
        <f>PROPER(Table2[[#This Row],[Brand]])</f>
        <v>Ralph Lauren</v>
      </c>
      <c r="E321" t="s">
        <v>15</v>
      </c>
      <c r="F321">
        <v>44.99</v>
      </c>
      <c r="G321" t="s">
        <v>1102</v>
      </c>
      <c r="H32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$44.99</v>
      </c>
      <c r="I321" t="str">
        <f>LEFT(Table2[[#This Row],[priceWithCurrency]],3)</f>
        <v xml:space="preserve">US </v>
      </c>
      <c r="J321">
        <v>10</v>
      </c>
      <c r="K321" t="str">
        <f>IF(Table2[[#This Row],[Available]]&lt;=50, "Less Stock", "Required stock" )</f>
        <v>Less Stock</v>
      </c>
      <c r="L321">
        <f t="shared" si="4"/>
        <v>1752.8700000000003</v>
      </c>
      <c r="M321" t="s">
        <v>17</v>
      </c>
      <c r="N321">
        <v>27</v>
      </c>
      <c r="O321" t="s">
        <v>1103</v>
      </c>
      <c r="P321" t="str">
        <f>RIGHT(RIGHT(Table2[[#This Row],[last Updated]],12),4)</f>
        <v xml:space="preserve"> PDT</v>
      </c>
      <c r="Q321" t="s">
        <v>89</v>
      </c>
    </row>
    <row r="322" spans="1:17" x14ac:dyDescent="0.25">
      <c r="A322" t="s">
        <v>1104</v>
      </c>
      <c r="B322" t="str">
        <f>UPPER(Table2[[#This Row],[Brand]])</f>
        <v>COTY</v>
      </c>
      <c r="C322" t="str">
        <f>LOWER(Table2[[#This Row],[Brand]])</f>
        <v>coty</v>
      </c>
      <c r="D322" t="str">
        <f>PROPER(Table2[[#This Row],[Brand]])</f>
        <v>Coty</v>
      </c>
      <c r="E322" t="s">
        <v>335</v>
      </c>
      <c r="F322">
        <v>16.899999999999999</v>
      </c>
      <c r="G322" t="s">
        <v>1105</v>
      </c>
      <c r="H32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$16.90</v>
      </c>
      <c r="I322" t="str">
        <f>LEFT(Table2[[#This Row],[priceWithCurrency]],3)</f>
        <v xml:space="preserve">US </v>
      </c>
      <c r="J322">
        <v>4</v>
      </c>
      <c r="K322" t="str">
        <f>IF(Table2[[#This Row],[Available]]&lt;=50, "Less Stock", "Required stock" )</f>
        <v>Less Stock</v>
      </c>
      <c r="L322">
        <f t="shared" ref="L322:L385" si="5">SUMIF(E322:E402,E366,F366:F1321)</f>
        <v>1643.8900000000006</v>
      </c>
      <c r="M322" t="s">
        <v>1106</v>
      </c>
      <c r="N322">
        <v>34</v>
      </c>
      <c r="O322" t="s">
        <v>1107</v>
      </c>
      <c r="P322" t="str">
        <f>RIGHT(RIGHT(Table2[[#This Row],[last Updated]],12),4)</f>
        <v xml:space="preserve"> PDT</v>
      </c>
      <c r="Q322" t="s">
        <v>1108</v>
      </c>
    </row>
    <row r="323" spans="1:17" x14ac:dyDescent="0.25">
      <c r="A323" t="s">
        <v>126</v>
      </c>
      <c r="B323" t="str">
        <f>UPPER(Table2[[#This Row],[Brand]])</f>
        <v>AZZARO</v>
      </c>
      <c r="C323" t="str">
        <f>LOWER(Table2[[#This Row],[Brand]])</f>
        <v>azzaro</v>
      </c>
      <c r="D323" t="str">
        <f>PROPER(Table2[[#This Row],[Brand]])</f>
        <v>Azzaro</v>
      </c>
      <c r="E323" t="s">
        <v>4</v>
      </c>
      <c r="F323">
        <v>9.99</v>
      </c>
      <c r="G323" t="s">
        <v>1109</v>
      </c>
      <c r="H32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$9.99</v>
      </c>
      <c r="I323" t="str">
        <f>LEFT(Table2[[#This Row],[priceWithCurrency]],3)</f>
        <v xml:space="preserve">US </v>
      </c>
      <c r="J323">
        <v>10</v>
      </c>
      <c r="K323" t="str">
        <f>IF(Table2[[#This Row],[Available]]&lt;=50, "Less Stock", "Required stock" )</f>
        <v>Less Stock</v>
      </c>
      <c r="L323">
        <f t="shared" si="5"/>
        <v>1643.8900000000006</v>
      </c>
      <c r="M323" t="s">
        <v>1110</v>
      </c>
      <c r="N323">
        <v>19</v>
      </c>
      <c r="O323" t="s">
        <v>1111</v>
      </c>
      <c r="P323" t="str">
        <f>RIGHT(RIGHT(Table2[[#This Row],[last Updated]],12),4)</f>
        <v xml:space="preserve"> PDT</v>
      </c>
      <c r="Q323" t="s">
        <v>1112</v>
      </c>
    </row>
    <row r="324" spans="1:17" x14ac:dyDescent="0.25">
      <c r="A324" t="s">
        <v>180</v>
      </c>
      <c r="B324" t="str">
        <f>UPPER(Table2[[#This Row],[Brand]])</f>
        <v>CALVIN KLEIN</v>
      </c>
      <c r="C324" t="str">
        <f>LOWER(Table2[[#This Row],[Brand]])</f>
        <v>calvin klein</v>
      </c>
      <c r="D324" t="str">
        <f>PROPER(Table2[[#This Row],[Brand]])</f>
        <v>Calvin Klein</v>
      </c>
      <c r="E324" t="s">
        <v>15</v>
      </c>
      <c r="F324">
        <v>19.989999999999998</v>
      </c>
      <c r="G324" t="s">
        <v>1113</v>
      </c>
      <c r="H32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$19.99</v>
      </c>
      <c r="I324" t="str">
        <f>LEFT(Table2[[#This Row],[priceWithCurrency]],3)</f>
        <v xml:space="preserve">US </v>
      </c>
      <c r="J324">
        <v>3</v>
      </c>
      <c r="K324" t="str">
        <f>IF(Table2[[#This Row],[Available]]&lt;=50, "Less Stock", "Required stock" )</f>
        <v>Less Stock</v>
      </c>
      <c r="L324">
        <f t="shared" si="5"/>
        <v>1643.8900000000006</v>
      </c>
      <c r="M324" t="s">
        <v>781</v>
      </c>
      <c r="N324">
        <v>4</v>
      </c>
      <c r="O324" t="s">
        <v>1114</v>
      </c>
      <c r="P324" t="str">
        <f>RIGHT(RIGHT(Table2[[#This Row],[last Updated]],12),4)</f>
        <v xml:space="preserve"> PDT</v>
      </c>
      <c r="Q324" t="s">
        <v>275</v>
      </c>
    </row>
    <row r="325" spans="1:17" x14ac:dyDescent="0.25">
      <c r="A325" t="s">
        <v>90</v>
      </c>
      <c r="B325" t="str">
        <f>UPPER(Table2[[#This Row],[Brand]])</f>
        <v>ARMAF</v>
      </c>
      <c r="C325" t="str">
        <f>LOWER(Table2[[#This Row],[Brand]])</f>
        <v>armaf</v>
      </c>
      <c r="D325" t="str">
        <f>PROPER(Table2[[#This Row],[Brand]])</f>
        <v>Armaf</v>
      </c>
      <c r="E325" t="s">
        <v>4</v>
      </c>
      <c r="F325">
        <v>43.45</v>
      </c>
      <c r="G325" t="s">
        <v>1115</v>
      </c>
      <c r="H32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$43.45</v>
      </c>
      <c r="I325" t="str">
        <f>LEFT(Table2[[#This Row],[priceWithCurrency]],3)</f>
        <v xml:space="preserve">US </v>
      </c>
      <c r="J325">
        <v>10</v>
      </c>
      <c r="K325" t="str">
        <f>IF(Table2[[#This Row],[Available]]&lt;=50, "Less Stock", "Required stock" )</f>
        <v>Less Stock</v>
      </c>
      <c r="L325">
        <f t="shared" si="5"/>
        <v>1095.0900000000001</v>
      </c>
      <c r="M325" t="s">
        <v>1116</v>
      </c>
      <c r="N325">
        <v>955</v>
      </c>
      <c r="O325" t="s">
        <v>1117</v>
      </c>
      <c r="P325" t="str">
        <f>RIGHT(RIGHT(Table2[[#This Row],[last Updated]],12),4)</f>
        <v xml:space="preserve"> PDT</v>
      </c>
      <c r="Q325" t="s">
        <v>36</v>
      </c>
    </row>
    <row r="326" spans="1:17" x14ac:dyDescent="0.25">
      <c r="A326" t="s">
        <v>728</v>
      </c>
      <c r="B326" t="str">
        <f>UPPER(Table2[[#This Row],[Brand]])</f>
        <v>TOMMY BAHAMA</v>
      </c>
      <c r="C326" t="str">
        <f>LOWER(Table2[[#This Row],[Brand]])</f>
        <v>tommy bahama</v>
      </c>
      <c r="D326" t="str">
        <f>PROPER(Table2[[#This Row],[Brand]])</f>
        <v>Tommy Bahama</v>
      </c>
      <c r="E326" t="s">
        <v>374</v>
      </c>
      <c r="F326">
        <v>31.95</v>
      </c>
      <c r="G326" t="s">
        <v>1118</v>
      </c>
      <c r="H32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$31.95</v>
      </c>
      <c r="I326" t="str">
        <f>LEFT(Table2[[#This Row],[priceWithCurrency]],3)</f>
        <v xml:space="preserve">US </v>
      </c>
      <c r="J326">
        <v>2</v>
      </c>
      <c r="K326" t="str">
        <f>IF(Table2[[#This Row],[Available]]&lt;=50, "Less Stock", "Required stock" )</f>
        <v>Less Stock</v>
      </c>
      <c r="L326">
        <f t="shared" si="5"/>
        <v>1065.0900000000001</v>
      </c>
      <c r="M326" t="s">
        <v>1119</v>
      </c>
      <c r="N326">
        <v>10</v>
      </c>
      <c r="O326" t="s">
        <v>1120</v>
      </c>
      <c r="P326" t="str">
        <f>RIGHT(RIGHT(Table2[[#This Row],[last Updated]],12),4)</f>
        <v xml:space="preserve"> PDT</v>
      </c>
      <c r="Q326" t="s">
        <v>1121</v>
      </c>
    </row>
    <row r="327" spans="1:17" x14ac:dyDescent="0.25">
      <c r="A327" t="s">
        <v>148</v>
      </c>
      <c r="B327" t="str">
        <f>UPPER(Table2[[#This Row],[Brand]])</f>
        <v>BHARARA</v>
      </c>
      <c r="C327" t="str">
        <f>LOWER(Table2[[#This Row],[Brand]])</f>
        <v>bharara</v>
      </c>
      <c r="D327" t="str">
        <f>PROPER(Table2[[#This Row],[Brand]])</f>
        <v>Bharara</v>
      </c>
      <c r="E327" t="s">
        <v>4</v>
      </c>
      <c r="F327">
        <v>78.989999999999995</v>
      </c>
      <c r="G327" t="s">
        <v>1122</v>
      </c>
      <c r="H32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$78.99</v>
      </c>
      <c r="I327" t="str">
        <f>LEFT(Table2[[#This Row],[priceWithCurrency]],3)</f>
        <v xml:space="preserve">US </v>
      </c>
      <c r="J327">
        <v>10</v>
      </c>
      <c r="K327" t="str">
        <f>IF(Table2[[#This Row],[Available]]&lt;=50, "Less Stock", "Required stock" )</f>
        <v>Less Stock</v>
      </c>
      <c r="L327">
        <f t="shared" si="5"/>
        <v>1559.1600000000003</v>
      </c>
      <c r="M327" t="s">
        <v>1123</v>
      </c>
      <c r="N327">
        <v>142</v>
      </c>
      <c r="O327" t="s">
        <v>1124</v>
      </c>
      <c r="P327" t="str">
        <f>RIGHT(RIGHT(Table2[[#This Row],[last Updated]],12),4)</f>
        <v xml:space="preserve"> PDT</v>
      </c>
      <c r="Q327" t="s">
        <v>89</v>
      </c>
    </row>
    <row r="328" spans="1:17" x14ac:dyDescent="0.25">
      <c r="A328" t="s">
        <v>25</v>
      </c>
      <c r="B328" t="str">
        <f>UPPER(Table2[[#This Row],[Brand]])</f>
        <v>LATTAFA</v>
      </c>
      <c r="C328" t="str">
        <f>LOWER(Table2[[#This Row],[Brand]])</f>
        <v>lattafa</v>
      </c>
      <c r="D328" t="str">
        <f>PROPER(Table2[[#This Row],[Brand]])</f>
        <v>Lattafa</v>
      </c>
      <c r="E328" t="s">
        <v>4</v>
      </c>
      <c r="F328">
        <v>25.79</v>
      </c>
      <c r="G328" t="s">
        <v>1125</v>
      </c>
      <c r="H32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$25.79</v>
      </c>
      <c r="I328" t="str">
        <f>LEFT(Table2[[#This Row],[priceWithCurrency]],3)</f>
        <v xml:space="preserve">US </v>
      </c>
      <c r="J328">
        <v>3</v>
      </c>
      <c r="K328" t="str">
        <f>IF(Table2[[#This Row],[Available]]&lt;=50, "Less Stock", "Required stock" )</f>
        <v>Less Stock</v>
      </c>
      <c r="L328">
        <f t="shared" si="5"/>
        <v>1559.1600000000003</v>
      </c>
      <c r="M328" t="s">
        <v>837</v>
      </c>
      <c r="N328">
        <v>11</v>
      </c>
      <c r="O328" t="s">
        <v>1126</v>
      </c>
      <c r="P328" t="str">
        <f>RIGHT(RIGHT(Table2[[#This Row],[last Updated]],12),4)</f>
        <v xml:space="preserve"> PDT</v>
      </c>
      <c r="Q328" t="s">
        <v>30</v>
      </c>
    </row>
    <row r="329" spans="1:17" x14ac:dyDescent="0.25">
      <c r="A329" t="s">
        <v>1127</v>
      </c>
      <c r="B329" t="str">
        <f>UPPER(Table2[[#This Row],[Brand]])</f>
        <v>LANVIN</v>
      </c>
      <c r="C329" t="str">
        <f>LOWER(Table2[[#This Row],[Brand]])</f>
        <v>lanvin</v>
      </c>
      <c r="D329" t="str">
        <f>PROPER(Table2[[#This Row],[Brand]])</f>
        <v>Lanvin</v>
      </c>
      <c r="E329" t="s">
        <v>15</v>
      </c>
      <c r="F329">
        <v>17.989999999999998</v>
      </c>
      <c r="G329" t="s">
        <v>1128</v>
      </c>
      <c r="H32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$17.99</v>
      </c>
      <c r="I329" t="str">
        <f>LEFT(Table2[[#This Row],[priceWithCurrency]],3)</f>
        <v xml:space="preserve">US </v>
      </c>
      <c r="J329">
        <v>138</v>
      </c>
      <c r="K329" t="str">
        <f>IF(Table2[[#This Row],[Available]]&lt;=50, "Less Stock", "Required stock" )</f>
        <v>Required stock</v>
      </c>
      <c r="L329">
        <f t="shared" si="5"/>
        <v>1559.1600000000003</v>
      </c>
      <c r="M329" t="s">
        <v>1129</v>
      </c>
      <c r="N329">
        <v>1955</v>
      </c>
      <c r="O329" t="s">
        <v>1130</v>
      </c>
      <c r="P329" t="str">
        <f>RIGHT(RIGHT(Table2[[#This Row],[last Updated]],12),4)</f>
        <v xml:space="preserve"> PDT</v>
      </c>
      <c r="Q329" t="s">
        <v>121</v>
      </c>
    </row>
    <row r="330" spans="1:17" x14ac:dyDescent="0.25">
      <c r="A330" t="s">
        <v>270</v>
      </c>
      <c r="B330" t="str">
        <f>UPPER(Table2[[#This Row],[Brand]])</f>
        <v>YVES SAINT LAURENT</v>
      </c>
      <c r="C330" t="str">
        <f>LOWER(Table2[[#This Row],[Brand]])</f>
        <v>yves saint laurent</v>
      </c>
      <c r="D330" t="str">
        <f>PROPER(Table2[[#This Row],[Brand]])</f>
        <v>Yves Saint Laurent</v>
      </c>
      <c r="E330" t="s">
        <v>1131</v>
      </c>
      <c r="F330">
        <v>60.99</v>
      </c>
      <c r="G330" t="s">
        <v>272</v>
      </c>
      <c r="H33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$60.99</v>
      </c>
      <c r="I330" t="str">
        <f>LEFT(Table2[[#This Row],[priceWithCurrency]],3)</f>
        <v xml:space="preserve">US </v>
      </c>
      <c r="J330">
        <v>2</v>
      </c>
      <c r="K330" t="str">
        <f>IF(Table2[[#This Row],[Available]]&lt;=50, "Less Stock", "Required stock" )</f>
        <v>Less Stock</v>
      </c>
      <c r="L330">
        <f t="shared" si="5"/>
        <v>1532.0600000000004</v>
      </c>
      <c r="M330" t="s">
        <v>1132</v>
      </c>
      <c r="N330">
        <v>16</v>
      </c>
      <c r="O330" t="s">
        <v>1133</v>
      </c>
      <c r="P330" t="str">
        <f>RIGHT(RIGHT(Table2[[#This Row],[last Updated]],12),4)</f>
        <v xml:space="preserve"> PDT</v>
      </c>
      <c r="Q330" t="s">
        <v>36</v>
      </c>
    </row>
    <row r="331" spans="1:17" x14ac:dyDescent="0.25">
      <c r="A331" t="s">
        <v>76</v>
      </c>
      <c r="B331" t="str">
        <f>UPPER(Table2[[#This Row],[Brand]])</f>
        <v>VERSACE</v>
      </c>
      <c r="C331" t="str">
        <f>LOWER(Table2[[#This Row],[Brand]])</f>
        <v>versace</v>
      </c>
      <c r="D331" t="str">
        <f>PROPER(Table2[[#This Row],[Brand]])</f>
        <v>Versace</v>
      </c>
      <c r="E331" t="s">
        <v>15</v>
      </c>
      <c r="F331">
        <v>41.98</v>
      </c>
      <c r="G331" t="s">
        <v>1134</v>
      </c>
      <c r="H33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$41.98</v>
      </c>
      <c r="I331" t="str">
        <f>LEFT(Table2[[#This Row],[priceWithCurrency]],3)</f>
        <v xml:space="preserve">US </v>
      </c>
      <c r="J331">
        <v>66</v>
      </c>
      <c r="K331" t="str">
        <f>IF(Table2[[#This Row],[Available]]&lt;=50, "Less Stock", "Required stock" )</f>
        <v>Required stock</v>
      </c>
      <c r="L331">
        <f t="shared" si="5"/>
        <v>1221.46</v>
      </c>
      <c r="M331" t="s">
        <v>1135</v>
      </c>
      <c r="N331">
        <v>4234</v>
      </c>
      <c r="O331" t="s">
        <v>1136</v>
      </c>
      <c r="P331" t="str">
        <f>RIGHT(RIGHT(Table2[[#This Row],[last Updated]],12),4)</f>
        <v xml:space="preserve"> PDT</v>
      </c>
      <c r="Q331" t="s">
        <v>121</v>
      </c>
    </row>
    <row r="332" spans="1:17" x14ac:dyDescent="0.25">
      <c r="A332" t="s">
        <v>238</v>
      </c>
      <c r="B332" t="str">
        <f>UPPER(Table2[[#This Row],[Brand]])</f>
        <v>AS PICTURE SHOW</v>
      </c>
      <c r="C332" t="str">
        <f>LOWER(Table2[[#This Row],[Brand]])</f>
        <v>as picture show</v>
      </c>
      <c r="D332" t="str">
        <f>PROPER(Table2[[#This Row],[Brand]])</f>
        <v>As Picture Show</v>
      </c>
      <c r="E332" t="s">
        <v>32</v>
      </c>
      <c r="F332">
        <v>124.99</v>
      </c>
      <c r="G332" t="s">
        <v>1137</v>
      </c>
      <c r="H33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$124.99</v>
      </c>
      <c r="I332" t="str">
        <f>LEFT(Table2[[#This Row],[priceWithCurrency]],3)</f>
        <v xml:space="preserve">US </v>
      </c>
      <c r="J332">
        <v>4</v>
      </c>
      <c r="K332" t="str">
        <f>IF(Table2[[#This Row],[Available]]&lt;=50, "Less Stock", "Required stock" )</f>
        <v>Less Stock</v>
      </c>
      <c r="L332">
        <f t="shared" si="5"/>
        <v>1339.1700000000003</v>
      </c>
      <c r="M332" t="s">
        <v>1138</v>
      </c>
      <c r="N332">
        <v>13</v>
      </c>
      <c r="O332" t="s">
        <v>567</v>
      </c>
      <c r="P332" t="str">
        <f>RIGHT(RIGHT(Table2[[#This Row],[last Updated]],12),4)</f>
        <v xml:space="preserve"> PDT</v>
      </c>
      <c r="Q332" t="s">
        <v>1139</v>
      </c>
    </row>
    <row r="333" spans="1:17" x14ac:dyDescent="0.25">
      <c r="A333" t="s">
        <v>335</v>
      </c>
      <c r="B333" t="str">
        <f>UPPER(Table2[[#This Row],[Brand]])</f>
        <v>COLOGNE</v>
      </c>
      <c r="C333" t="str">
        <f>LOWER(Table2[[#This Row],[Brand]])</f>
        <v>cologne</v>
      </c>
      <c r="D333" t="str">
        <f>PROPER(Table2[[#This Row],[Brand]])</f>
        <v>Cologne</v>
      </c>
      <c r="E333" t="s">
        <v>15</v>
      </c>
      <c r="F333">
        <v>19.899999999999999</v>
      </c>
      <c r="G333" t="s">
        <v>1140</v>
      </c>
      <c r="H33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$19.90</v>
      </c>
      <c r="I333" t="str">
        <f>LEFT(Table2[[#This Row],[priceWithCurrency]],3)</f>
        <v xml:space="preserve">US </v>
      </c>
      <c r="J333">
        <v>10</v>
      </c>
      <c r="K333" t="str">
        <f>IF(Table2[[#This Row],[Available]]&lt;=50, "Less Stock", "Required stock" )</f>
        <v>Less Stock</v>
      </c>
      <c r="L333">
        <f t="shared" si="5"/>
        <v>1393.1500000000003</v>
      </c>
      <c r="M333" t="s">
        <v>1141</v>
      </c>
      <c r="N333">
        <v>294</v>
      </c>
      <c r="O333" t="s">
        <v>1142</v>
      </c>
      <c r="P333" t="str">
        <f>RIGHT(RIGHT(Table2[[#This Row],[last Updated]],12),4)</f>
        <v xml:space="preserve"> PDT</v>
      </c>
      <c r="Q333" t="s">
        <v>1143</v>
      </c>
    </row>
    <row r="334" spans="1:17" x14ac:dyDescent="0.25">
      <c r="A334" t="s">
        <v>593</v>
      </c>
      <c r="B334" t="str">
        <f>UPPER(Table2[[#This Row],[Brand]])</f>
        <v>SALVATORE FERRAGAMO</v>
      </c>
      <c r="C334" t="str">
        <f>LOWER(Table2[[#This Row],[Brand]])</f>
        <v>salvatore ferragamo</v>
      </c>
      <c r="D334" t="str">
        <f>PROPER(Table2[[#This Row],[Brand]])</f>
        <v>Salvatore Ferragamo</v>
      </c>
      <c r="E334" t="s">
        <v>15</v>
      </c>
      <c r="F334">
        <v>23</v>
      </c>
      <c r="G334" t="s">
        <v>1144</v>
      </c>
      <c r="H33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$23.00</v>
      </c>
      <c r="I334" t="str">
        <f>LEFT(Table2[[#This Row],[priceWithCurrency]],3)</f>
        <v xml:space="preserve">US </v>
      </c>
      <c r="J334">
        <v>6</v>
      </c>
      <c r="K334" t="str">
        <f>IF(Table2[[#This Row],[Available]]&lt;=50, "Less Stock", "Required stock" )</f>
        <v>Less Stock</v>
      </c>
      <c r="L334">
        <f t="shared" si="5"/>
        <v>1303.1700000000003</v>
      </c>
      <c r="M334" t="s">
        <v>1145</v>
      </c>
      <c r="N334">
        <v>9</v>
      </c>
      <c r="O334" t="s">
        <v>1146</v>
      </c>
      <c r="P334" t="str">
        <f>RIGHT(RIGHT(Table2[[#This Row],[last Updated]],12),4)</f>
        <v xml:space="preserve"> PDT</v>
      </c>
      <c r="Q334" t="s">
        <v>1147</v>
      </c>
    </row>
    <row r="335" spans="1:17" x14ac:dyDescent="0.25">
      <c r="A335" t="s">
        <v>9</v>
      </c>
      <c r="B335" t="str">
        <f>UPPER(Table2[[#This Row],[Brand]])</f>
        <v>AS SHOW</v>
      </c>
      <c r="C335" t="str">
        <f>LOWER(Table2[[#This Row],[Brand]])</f>
        <v>as show</v>
      </c>
      <c r="D335" t="str">
        <f>PROPER(Table2[[#This Row],[Brand]])</f>
        <v>As Show</v>
      </c>
      <c r="E335" t="s">
        <v>4</v>
      </c>
      <c r="F335">
        <v>49.99</v>
      </c>
      <c r="G335" t="s">
        <v>114</v>
      </c>
      <c r="H33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$49.99</v>
      </c>
      <c r="I335" t="str">
        <f>LEFT(Table2[[#This Row],[priceWithCurrency]],3)</f>
        <v xml:space="preserve">US </v>
      </c>
      <c r="J335">
        <v>8</v>
      </c>
      <c r="K335" t="str">
        <f>IF(Table2[[#This Row],[Available]]&lt;=50, "Less Stock", "Required stock" )</f>
        <v>Less Stock</v>
      </c>
      <c r="L335">
        <f t="shared" si="5"/>
        <v>1259.7000000000005</v>
      </c>
      <c r="M335" t="s">
        <v>1148</v>
      </c>
      <c r="N335">
        <v>25</v>
      </c>
      <c r="O335" t="s">
        <v>1149</v>
      </c>
      <c r="P335" t="str">
        <f>RIGHT(RIGHT(Table2[[#This Row],[last Updated]],12),4)</f>
        <v xml:space="preserve"> PDT</v>
      </c>
      <c r="Q335" t="s">
        <v>1150</v>
      </c>
    </row>
    <row r="336" spans="1:17" x14ac:dyDescent="0.25">
      <c r="A336" t="s">
        <v>117</v>
      </c>
      <c r="B336" t="str">
        <f>UPPER(Table2[[#This Row],[Brand]])</f>
        <v>AFNAN</v>
      </c>
      <c r="C336" t="str">
        <f>LOWER(Table2[[#This Row],[Brand]])</f>
        <v>afnan</v>
      </c>
      <c r="D336" t="str">
        <f>PROPER(Table2[[#This Row],[Brand]])</f>
        <v>Afnan</v>
      </c>
      <c r="E336" t="s">
        <v>4</v>
      </c>
      <c r="F336">
        <v>37.89</v>
      </c>
      <c r="G336" t="s">
        <v>1151</v>
      </c>
      <c r="H33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$37.89</v>
      </c>
      <c r="I336" t="str">
        <f>LEFT(Table2[[#This Row],[priceWithCurrency]],3)</f>
        <v xml:space="preserve">US </v>
      </c>
      <c r="K336" t="str">
        <f>IF(Table2[[#This Row],[Available]]&lt;=50, "Less Stock", "Required stock" )</f>
        <v>Less Stock</v>
      </c>
      <c r="L336">
        <f t="shared" si="5"/>
        <v>1367.13</v>
      </c>
      <c r="M336" t="s">
        <v>1152</v>
      </c>
      <c r="N336">
        <v>1242</v>
      </c>
      <c r="O336" t="s">
        <v>1153</v>
      </c>
      <c r="P336" t="str">
        <f>RIGHT(RIGHT(Table2[[#This Row],[last Updated]],12),4)</f>
        <v xml:space="preserve"> PDT</v>
      </c>
      <c r="Q336" t="s">
        <v>108</v>
      </c>
    </row>
    <row r="337" spans="1:17" x14ac:dyDescent="0.25">
      <c r="A337" t="s">
        <v>90</v>
      </c>
      <c r="B337" t="str">
        <f>UPPER(Table2[[#This Row],[Brand]])</f>
        <v>ARMAF</v>
      </c>
      <c r="C337" t="str">
        <f>LOWER(Table2[[#This Row],[Brand]])</f>
        <v>armaf</v>
      </c>
      <c r="D337" t="str">
        <f>PROPER(Table2[[#This Row],[Brand]])</f>
        <v>Armaf</v>
      </c>
      <c r="E337" t="s">
        <v>15</v>
      </c>
      <c r="F337">
        <v>21.15</v>
      </c>
      <c r="G337" t="s">
        <v>1154</v>
      </c>
      <c r="H33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$21.15</v>
      </c>
      <c r="I337" t="str">
        <f>LEFT(Table2[[#This Row],[priceWithCurrency]],3)</f>
        <v xml:space="preserve">US </v>
      </c>
      <c r="J337">
        <v>95</v>
      </c>
      <c r="K337" t="str">
        <f>IF(Table2[[#This Row],[Available]]&lt;=50, "Less Stock", "Required stock" )</f>
        <v>Required stock</v>
      </c>
      <c r="L337">
        <f t="shared" si="5"/>
        <v>1342.73</v>
      </c>
      <c r="M337" t="s">
        <v>1155</v>
      </c>
      <c r="N337">
        <v>739</v>
      </c>
      <c r="O337" t="s">
        <v>1156</v>
      </c>
      <c r="P337" t="str">
        <f>RIGHT(RIGHT(Table2[[#This Row],[last Updated]],12),4)</f>
        <v xml:space="preserve"> PDT</v>
      </c>
      <c r="Q337" t="s">
        <v>121</v>
      </c>
    </row>
    <row r="338" spans="1:17" x14ac:dyDescent="0.25">
      <c r="A338" t="s">
        <v>195</v>
      </c>
      <c r="B338" t="str">
        <f>UPPER(Table2[[#This Row],[Brand]])</f>
        <v>GIVENCHY</v>
      </c>
      <c r="C338" t="str">
        <f>LOWER(Table2[[#This Row],[Brand]])</f>
        <v>givenchy</v>
      </c>
      <c r="D338" t="str">
        <f>PROPER(Table2[[#This Row],[Brand]])</f>
        <v>Givenchy</v>
      </c>
      <c r="E338" t="s">
        <v>1157</v>
      </c>
      <c r="F338">
        <v>59</v>
      </c>
      <c r="G338" t="s">
        <v>1158</v>
      </c>
      <c r="H33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$59.00</v>
      </c>
      <c r="I338" t="str">
        <f>LEFT(Table2[[#This Row],[priceWithCurrency]],3)</f>
        <v xml:space="preserve">US </v>
      </c>
      <c r="J338">
        <v>10</v>
      </c>
      <c r="K338" t="str">
        <f>IF(Table2[[#This Row],[Available]]&lt;=50, "Less Stock", "Required stock" )</f>
        <v>Less Stock</v>
      </c>
      <c r="L338">
        <f t="shared" si="5"/>
        <v>257.27</v>
      </c>
      <c r="M338" t="s">
        <v>1159</v>
      </c>
      <c r="N338">
        <v>601</v>
      </c>
      <c r="O338" t="s">
        <v>1160</v>
      </c>
      <c r="P338" t="str">
        <f>RIGHT(RIGHT(Table2[[#This Row],[last Updated]],12),4)</f>
        <v xml:space="preserve"> PDT</v>
      </c>
      <c r="Q338" t="s">
        <v>131</v>
      </c>
    </row>
    <row r="339" spans="1:17" x14ac:dyDescent="0.25">
      <c r="A339" t="s">
        <v>166</v>
      </c>
      <c r="B339" t="str">
        <f>UPPER(Table2[[#This Row],[Brand]])</f>
        <v>MONTBLANC</v>
      </c>
      <c r="C339" t="str">
        <f>LOWER(Table2[[#This Row],[Brand]])</f>
        <v>montblanc</v>
      </c>
      <c r="D339" t="str">
        <f>PROPER(Table2[[#This Row],[Brand]])</f>
        <v>Montblanc</v>
      </c>
      <c r="E339" t="s">
        <v>15</v>
      </c>
      <c r="F339">
        <v>25.81</v>
      </c>
      <c r="G339" t="s">
        <v>1161</v>
      </c>
      <c r="H33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$25.81</v>
      </c>
      <c r="I339" t="str">
        <f>LEFT(Table2[[#This Row],[priceWithCurrency]],3)</f>
        <v xml:space="preserve">US </v>
      </c>
      <c r="J339">
        <v>95</v>
      </c>
      <c r="K339" t="str">
        <f>IF(Table2[[#This Row],[Available]]&lt;=50, "Less Stock", "Required stock" )</f>
        <v>Required stock</v>
      </c>
      <c r="L339">
        <f t="shared" si="5"/>
        <v>28.99</v>
      </c>
      <c r="M339" t="s">
        <v>1162</v>
      </c>
      <c r="N339">
        <v>1424</v>
      </c>
      <c r="O339" t="s">
        <v>1163</v>
      </c>
      <c r="P339" t="str">
        <f>RIGHT(RIGHT(Table2[[#This Row],[last Updated]],12),4)</f>
        <v xml:space="preserve"> PDT</v>
      </c>
      <c r="Q339" t="s">
        <v>121</v>
      </c>
    </row>
    <row r="340" spans="1:17" x14ac:dyDescent="0.25">
      <c r="A340" t="s">
        <v>1164</v>
      </c>
      <c r="B340" t="str">
        <f>UPPER(Table2[[#This Row],[Brand]])</f>
        <v>CLAUDE MARSAL</v>
      </c>
      <c r="C340" t="str">
        <f>LOWER(Table2[[#This Row],[Brand]])</f>
        <v>claude marsal</v>
      </c>
      <c r="D340" t="str">
        <f>PROPER(Table2[[#This Row],[Brand]])</f>
        <v>Claude Marsal</v>
      </c>
      <c r="E340" t="s">
        <v>32</v>
      </c>
      <c r="F340">
        <v>180</v>
      </c>
      <c r="G340" t="s">
        <v>1165</v>
      </c>
      <c r="H34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$180.00</v>
      </c>
      <c r="I340" t="str">
        <f>LEFT(Table2[[#This Row],[priceWithCurrency]],3)</f>
        <v xml:space="preserve">US </v>
      </c>
      <c r="K340" t="str">
        <f>IF(Table2[[#This Row],[Available]]&lt;=50, "Less Stock", "Required stock" )</f>
        <v>Less Stock</v>
      </c>
      <c r="L340">
        <f t="shared" si="5"/>
        <v>1342.73</v>
      </c>
      <c r="M340" t="s">
        <v>1166</v>
      </c>
      <c r="N340">
        <v>9</v>
      </c>
      <c r="O340" t="s">
        <v>1167</v>
      </c>
      <c r="P340" t="str">
        <f>RIGHT(RIGHT(Table2[[#This Row],[last Updated]],12),4)</f>
        <v xml:space="preserve"> PST</v>
      </c>
      <c r="Q340" t="s">
        <v>1168</v>
      </c>
    </row>
    <row r="341" spans="1:17" x14ac:dyDescent="0.25">
      <c r="A341" t="s">
        <v>799</v>
      </c>
      <c r="B341" t="str">
        <f>UPPER(Table2[[#This Row],[Brand]])</f>
        <v>CREED</v>
      </c>
      <c r="C341" t="str">
        <f>LOWER(Table2[[#This Row],[Brand]])</f>
        <v>creed</v>
      </c>
      <c r="D341" t="str">
        <f>PROPER(Table2[[#This Row],[Brand]])</f>
        <v>Creed</v>
      </c>
      <c r="E341" t="s">
        <v>4</v>
      </c>
      <c r="F341">
        <v>160.91</v>
      </c>
      <c r="G341" t="s">
        <v>1169</v>
      </c>
      <c r="H34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$160.91</v>
      </c>
      <c r="I341" t="str">
        <f>LEFT(Table2[[#This Row],[priceWithCurrency]],3)</f>
        <v xml:space="preserve">US </v>
      </c>
      <c r="K341" t="str">
        <f>IF(Table2[[#This Row],[Available]]&lt;=50, "Less Stock", "Required stock" )</f>
        <v>Less Stock</v>
      </c>
      <c r="L341">
        <f t="shared" si="5"/>
        <v>1342.73</v>
      </c>
      <c r="M341" t="s">
        <v>1170</v>
      </c>
      <c r="N341">
        <v>386</v>
      </c>
      <c r="O341" t="s">
        <v>1171</v>
      </c>
      <c r="P341" t="str">
        <f>RIGHT(RIGHT(Table2[[#This Row],[last Updated]],12),4)</f>
        <v xml:space="preserve"> PDT</v>
      </c>
      <c r="Q341" t="s">
        <v>108</v>
      </c>
    </row>
    <row r="342" spans="1:17" x14ac:dyDescent="0.25">
      <c r="A342" t="s">
        <v>76</v>
      </c>
      <c r="B342" t="str">
        <f>UPPER(Table2[[#This Row],[Brand]])</f>
        <v>VERSACE</v>
      </c>
      <c r="C342" t="str">
        <f>LOWER(Table2[[#This Row],[Brand]])</f>
        <v>versace</v>
      </c>
      <c r="D342" t="str">
        <f>PROPER(Table2[[#This Row],[Brand]])</f>
        <v>Versace</v>
      </c>
      <c r="E342" t="s">
        <v>15</v>
      </c>
      <c r="F342">
        <v>23.49</v>
      </c>
      <c r="G342" t="s">
        <v>957</v>
      </c>
      <c r="H34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$23.49</v>
      </c>
      <c r="I342" t="str">
        <f>LEFT(Table2[[#This Row],[priceWithCurrency]],3)</f>
        <v xml:space="preserve">US </v>
      </c>
      <c r="J342">
        <v>3</v>
      </c>
      <c r="K342" t="str">
        <f>IF(Table2[[#This Row],[Available]]&lt;=50, "Less Stock", "Required stock" )</f>
        <v>Less Stock</v>
      </c>
      <c r="L342">
        <f t="shared" si="5"/>
        <v>1558.4500000000005</v>
      </c>
      <c r="M342" t="s">
        <v>748</v>
      </c>
      <c r="N342">
        <v>25</v>
      </c>
      <c r="O342" t="s">
        <v>1172</v>
      </c>
      <c r="P342" t="str">
        <f>RIGHT(RIGHT(Table2[[#This Row],[last Updated]],12),4)</f>
        <v xml:space="preserve"> PDT</v>
      </c>
      <c r="Q342" t="s">
        <v>30</v>
      </c>
    </row>
    <row r="343" spans="1:17" x14ac:dyDescent="0.25">
      <c r="A343" t="s">
        <v>20</v>
      </c>
      <c r="B343" t="str">
        <f>UPPER(Table2[[#This Row],[Brand]])</f>
        <v>GIORGIO ARMANI</v>
      </c>
      <c r="C343" t="str">
        <f>LOWER(Table2[[#This Row],[Brand]])</f>
        <v>giorgio armani</v>
      </c>
      <c r="D343" t="str">
        <f>PROPER(Table2[[#This Row],[Brand]])</f>
        <v>Giorgio Armani</v>
      </c>
      <c r="E343" t="s">
        <v>127</v>
      </c>
      <c r="F343">
        <v>25.95</v>
      </c>
      <c r="G343" t="s">
        <v>1173</v>
      </c>
      <c r="H34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$25.95</v>
      </c>
      <c r="I343" t="str">
        <f>LEFT(Table2[[#This Row],[priceWithCurrency]],3)</f>
        <v xml:space="preserve">US </v>
      </c>
      <c r="J343">
        <v>10</v>
      </c>
      <c r="K343" t="str">
        <f>IF(Table2[[#This Row],[Available]]&lt;=50, "Less Stock", "Required stock" )</f>
        <v>Less Stock</v>
      </c>
      <c r="L343">
        <f t="shared" si="5"/>
        <v>1539.2900000000004</v>
      </c>
      <c r="M343" t="s">
        <v>1174</v>
      </c>
      <c r="N343">
        <v>280</v>
      </c>
      <c r="O343" t="s">
        <v>1175</v>
      </c>
      <c r="P343" t="str">
        <f>RIGHT(RIGHT(Table2[[#This Row],[last Updated]],12),4)</f>
        <v xml:space="preserve"> PDT</v>
      </c>
      <c r="Q343" t="s">
        <v>1019</v>
      </c>
    </row>
    <row r="344" spans="1:17" x14ac:dyDescent="0.25">
      <c r="A344" t="s">
        <v>270</v>
      </c>
      <c r="B344" t="str">
        <f>UPPER(Table2[[#This Row],[Brand]])</f>
        <v>YVES SAINT LAURENT</v>
      </c>
      <c r="C344" t="str">
        <f>LOWER(Table2[[#This Row],[Brand]])</f>
        <v>yves saint laurent</v>
      </c>
      <c r="D344" t="str">
        <f>PROPER(Table2[[#This Row],[Brand]])</f>
        <v>Yves Saint Laurent</v>
      </c>
      <c r="E344" t="s">
        <v>15</v>
      </c>
      <c r="F344">
        <v>144.99</v>
      </c>
      <c r="G344" t="s">
        <v>1176</v>
      </c>
      <c r="H34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$144.99</v>
      </c>
      <c r="I344" t="str">
        <f>LEFT(Table2[[#This Row],[priceWithCurrency]],3)</f>
        <v xml:space="preserve">US </v>
      </c>
      <c r="J344">
        <v>10</v>
      </c>
      <c r="K344" t="str">
        <f>IF(Table2[[#This Row],[Available]]&lt;=50, "Less Stock", "Required stock" )</f>
        <v>Less Stock</v>
      </c>
      <c r="L344">
        <f t="shared" si="5"/>
        <v>278.52000000000004</v>
      </c>
      <c r="M344" t="s">
        <v>1177</v>
      </c>
      <c r="N344">
        <v>145</v>
      </c>
      <c r="O344" t="s">
        <v>1178</v>
      </c>
      <c r="P344" t="str">
        <f>RIGHT(RIGHT(Table2[[#This Row],[last Updated]],12),4)</f>
        <v xml:space="preserve"> PDT</v>
      </c>
      <c r="Q344" t="s">
        <v>131</v>
      </c>
    </row>
    <row r="345" spans="1:17" x14ac:dyDescent="0.25">
      <c r="A345" t="s">
        <v>90</v>
      </c>
      <c r="B345" t="str">
        <f>UPPER(Table2[[#This Row],[Brand]])</f>
        <v>ARMAF</v>
      </c>
      <c r="C345" t="str">
        <f>LOWER(Table2[[#This Row],[Brand]])</f>
        <v>armaf</v>
      </c>
      <c r="D345" t="str">
        <f>PROPER(Table2[[#This Row],[Brand]])</f>
        <v>Armaf</v>
      </c>
      <c r="E345" t="s">
        <v>4</v>
      </c>
      <c r="F345">
        <v>38.97</v>
      </c>
      <c r="G345" t="s">
        <v>1179</v>
      </c>
      <c r="H34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$38.97</v>
      </c>
      <c r="I345" t="str">
        <f>LEFT(Table2[[#This Row],[priceWithCurrency]],3)</f>
        <v xml:space="preserve">US </v>
      </c>
      <c r="J345">
        <v>10</v>
      </c>
      <c r="K345" t="str">
        <f>IF(Table2[[#This Row],[Available]]&lt;=50, "Less Stock", "Required stock" )</f>
        <v>Less Stock</v>
      </c>
      <c r="L345">
        <f t="shared" si="5"/>
        <v>1527.9100000000003</v>
      </c>
      <c r="M345" t="s">
        <v>1180</v>
      </c>
      <c r="N345">
        <v>4</v>
      </c>
      <c r="P345" t="str">
        <f>RIGHT(RIGHT(Table2[[#This Row],[last Updated]],12),4)</f>
        <v/>
      </c>
      <c r="Q345" t="s">
        <v>973</v>
      </c>
    </row>
    <row r="346" spans="1:17" x14ac:dyDescent="0.25">
      <c r="A346" t="s">
        <v>180</v>
      </c>
      <c r="B346" t="str">
        <f>UPPER(Table2[[#This Row],[Brand]])</f>
        <v>CALVIN KLEIN</v>
      </c>
      <c r="C346" t="str">
        <f>LOWER(Table2[[#This Row],[Brand]])</f>
        <v>calvin klein</v>
      </c>
      <c r="D346" t="str">
        <f>PROPER(Table2[[#This Row],[Brand]])</f>
        <v>Calvin Klein</v>
      </c>
      <c r="E346" t="s">
        <v>15</v>
      </c>
      <c r="F346">
        <v>32.979999999999997</v>
      </c>
      <c r="G346" t="s">
        <v>1181</v>
      </c>
      <c r="H34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$32.98</v>
      </c>
      <c r="I346" t="str">
        <f>LEFT(Table2[[#This Row],[priceWithCurrency]],3)</f>
        <v xml:space="preserve">US </v>
      </c>
      <c r="J346">
        <v>10</v>
      </c>
      <c r="K346" t="str">
        <f>IF(Table2[[#This Row],[Available]]&lt;=50, "Less Stock", "Required stock" )</f>
        <v>Less Stock</v>
      </c>
      <c r="L346">
        <f t="shared" si="5"/>
        <v>1241.7400000000002</v>
      </c>
      <c r="M346" t="s">
        <v>1182</v>
      </c>
      <c r="N346">
        <v>4427</v>
      </c>
      <c r="O346" t="s">
        <v>1183</v>
      </c>
      <c r="P346" t="str">
        <f>RIGHT(RIGHT(Table2[[#This Row],[last Updated]],12),4)</f>
        <v xml:space="preserve"> PDT</v>
      </c>
      <c r="Q346" t="s">
        <v>108</v>
      </c>
    </row>
    <row r="347" spans="1:17" x14ac:dyDescent="0.25">
      <c r="A347" t="s">
        <v>860</v>
      </c>
      <c r="B347" t="str">
        <f>UPPER(Table2[[#This Row],[Brand]])</f>
        <v>LIZ CLAIBORNE</v>
      </c>
      <c r="C347" t="str">
        <f>LOWER(Table2[[#This Row],[Brand]])</f>
        <v>liz claiborne</v>
      </c>
      <c r="D347" t="str">
        <f>PROPER(Table2[[#This Row],[Brand]])</f>
        <v>Liz Claiborne</v>
      </c>
      <c r="E347" t="s">
        <v>1184</v>
      </c>
      <c r="F347">
        <v>33.99</v>
      </c>
      <c r="G347" t="s">
        <v>1185</v>
      </c>
      <c r="H34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$33.99</v>
      </c>
      <c r="I347" t="str">
        <f>LEFT(Table2[[#This Row],[priceWithCurrency]],3)</f>
        <v xml:space="preserve">US </v>
      </c>
      <c r="J347">
        <v>155</v>
      </c>
      <c r="K347" t="str">
        <f>IF(Table2[[#This Row],[Available]]&lt;=50, "Less Stock", "Required stock" )</f>
        <v>Required stock</v>
      </c>
      <c r="L347">
        <f t="shared" si="5"/>
        <v>1241.7400000000002</v>
      </c>
      <c r="M347" t="s">
        <v>1186</v>
      </c>
      <c r="N347">
        <v>6634</v>
      </c>
      <c r="O347" t="s">
        <v>1187</v>
      </c>
      <c r="P347" t="str">
        <f>RIGHT(RIGHT(Table2[[#This Row],[last Updated]],12),4)</f>
        <v xml:space="preserve"> PDT</v>
      </c>
      <c r="Q347" t="s">
        <v>121</v>
      </c>
    </row>
    <row r="348" spans="1:17" x14ac:dyDescent="0.25">
      <c r="A348" t="s">
        <v>714</v>
      </c>
      <c r="B348" t="str">
        <f>UPPER(Table2[[#This Row],[Brand]])</f>
        <v>MONT BLANC</v>
      </c>
      <c r="C348" t="str">
        <f>LOWER(Table2[[#This Row],[Brand]])</f>
        <v>mont blanc</v>
      </c>
      <c r="D348" t="str">
        <f>PROPER(Table2[[#This Row],[Brand]])</f>
        <v>Mont Blanc</v>
      </c>
      <c r="E348" t="s">
        <v>276</v>
      </c>
      <c r="F348">
        <v>62.09</v>
      </c>
      <c r="G348" t="s">
        <v>1188</v>
      </c>
      <c r="H34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$62.09</v>
      </c>
      <c r="I348" t="str">
        <f>LEFT(Table2[[#This Row],[priceWithCurrency]],3)</f>
        <v xml:space="preserve">US </v>
      </c>
      <c r="J348">
        <v>10</v>
      </c>
      <c r="K348" t="str">
        <f>IF(Table2[[#This Row],[Available]]&lt;=50, "Less Stock", "Required stock" )</f>
        <v>Less Stock</v>
      </c>
      <c r="L348">
        <f t="shared" si="5"/>
        <v>76.08</v>
      </c>
      <c r="M348" t="s">
        <v>1189</v>
      </c>
      <c r="N348">
        <v>125</v>
      </c>
      <c r="O348" t="s">
        <v>1190</v>
      </c>
      <c r="P348" t="str">
        <f>RIGHT(RIGHT(Table2[[#This Row],[last Updated]],12),4)</f>
        <v xml:space="preserve"> PDT</v>
      </c>
      <c r="Q348" t="s">
        <v>226</v>
      </c>
    </row>
    <row r="349" spans="1:17" x14ac:dyDescent="0.25">
      <c r="A349" t="s">
        <v>1191</v>
      </c>
      <c r="B349" t="str">
        <f>UPPER(Table2[[#This Row],[Brand]])</f>
        <v>NIKOS</v>
      </c>
      <c r="C349" t="str">
        <f>LOWER(Table2[[#This Row],[Brand]])</f>
        <v>nikos</v>
      </c>
      <c r="D349" t="str">
        <f>PROPER(Table2[[#This Row],[Brand]])</f>
        <v>Nikos</v>
      </c>
      <c r="E349" t="s">
        <v>15</v>
      </c>
      <c r="F349">
        <v>12.23</v>
      </c>
      <c r="G349" t="s">
        <v>1192</v>
      </c>
      <c r="H34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$12.23</v>
      </c>
      <c r="I349" t="str">
        <f>LEFT(Table2[[#This Row],[priceWithCurrency]],3)</f>
        <v xml:space="preserve">US </v>
      </c>
      <c r="J349">
        <v>10</v>
      </c>
      <c r="K349" t="str">
        <f>IF(Table2[[#This Row],[Available]]&lt;=50, "Less Stock", "Required stock" )</f>
        <v>Less Stock</v>
      </c>
      <c r="L349">
        <f t="shared" si="5"/>
        <v>57.33</v>
      </c>
      <c r="M349" t="s">
        <v>1193</v>
      </c>
      <c r="N349">
        <v>1128</v>
      </c>
      <c r="O349" t="s">
        <v>1194</v>
      </c>
      <c r="P349" t="str">
        <f>RIGHT(RIGHT(Table2[[#This Row],[last Updated]],12),4)</f>
        <v xml:space="preserve"> PDT</v>
      </c>
      <c r="Q349" t="s">
        <v>108</v>
      </c>
    </row>
    <row r="350" spans="1:17" x14ac:dyDescent="0.25">
      <c r="A350" t="s">
        <v>166</v>
      </c>
      <c r="B350" t="str">
        <f>UPPER(Table2[[#This Row],[Brand]])</f>
        <v>MONTBLANC</v>
      </c>
      <c r="C350" t="str">
        <f>LOWER(Table2[[#This Row],[Brand]])</f>
        <v>montblanc</v>
      </c>
      <c r="D350" t="str">
        <f>PROPER(Table2[[#This Row],[Brand]])</f>
        <v>Montblanc</v>
      </c>
      <c r="E350" t="s">
        <v>4</v>
      </c>
      <c r="F350">
        <v>31.29</v>
      </c>
      <c r="G350" t="s">
        <v>1195</v>
      </c>
      <c r="H35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$31.29</v>
      </c>
      <c r="I350" t="str">
        <f>LEFT(Table2[[#This Row],[priceWithCurrency]],3)</f>
        <v xml:space="preserve">US </v>
      </c>
      <c r="J350">
        <v>40</v>
      </c>
      <c r="K350" t="str">
        <f>IF(Table2[[#This Row],[Available]]&lt;=50, "Less Stock", "Required stock" )</f>
        <v>Less Stock</v>
      </c>
      <c r="L350">
        <f t="shared" si="5"/>
        <v>291.01000000000005</v>
      </c>
      <c r="M350" t="s">
        <v>1196</v>
      </c>
      <c r="N350">
        <v>349</v>
      </c>
      <c r="O350" t="s">
        <v>1197</v>
      </c>
      <c r="P350" t="str">
        <f>RIGHT(RIGHT(Table2[[#This Row],[last Updated]],12),4)</f>
        <v xml:space="preserve"> PDT</v>
      </c>
      <c r="Q350" t="s">
        <v>121</v>
      </c>
    </row>
    <row r="351" spans="1:17" x14ac:dyDescent="0.25">
      <c r="A351" t="s">
        <v>270</v>
      </c>
      <c r="B351" t="str">
        <f>UPPER(Table2[[#This Row],[Brand]])</f>
        <v>YVES SAINT LAURENT</v>
      </c>
      <c r="C351" t="str">
        <f>LOWER(Table2[[#This Row],[Brand]])</f>
        <v>yves saint laurent</v>
      </c>
      <c r="D351" t="str">
        <f>PROPER(Table2[[#This Row],[Brand]])</f>
        <v>Yves Saint Laurent</v>
      </c>
      <c r="E351" t="s">
        <v>15</v>
      </c>
      <c r="F351">
        <v>69.55</v>
      </c>
      <c r="G351" t="s">
        <v>1198</v>
      </c>
      <c r="H35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$69.55</v>
      </c>
      <c r="I351" t="str">
        <f>LEFT(Table2[[#This Row],[priceWithCurrency]],3)</f>
        <v xml:space="preserve">US </v>
      </c>
      <c r="J351">
        <v>3</v>
      </c>
      <c r="K351" t="str">
        <f>IF(Table2[[#This Row],[Available]]&lt;=50, "Less Stock", "Required stock" )</f>
        <v>Less Stock</v>
      </c>
      <c r="L351">
        <f t="shared" si="5"/>
        <v>158.99</v>
      </c>
      <c r="M351" t="s">
        <v>1199</v>
      </c>
      <c r="N351">
        <v>16</v>
      </c>
      <c r="O351" t="s">
        <v>1200</v>
      </c>
      <c r="P351" t="str">
        <f>RIGHT(RIGHT(Table2[[#This Row],[last Updated]],12),4)</f>
        <v xml:space="preserve"> PDT</v>
      </c>
      <c r="Q351" t="s">
        <v>30</v>
      </c>
    </row>
    <row r="352" spans="1:17" x14ac:dyDescent="0.25">
      <c r="A352" t="s">
        <v>846</v>
      </c>
      <c r="B352" t="str">
        <f>UPPER(Table2[[#This Row],[Brand]])</f>
        <v>LALIQUE</v>
      </c>
      <c r="C352" t="str">
        <f>LOWER(Table2[[#This Row],[Brand]])</f>
        <v>lalique</v>
      </c>
      <c r="D352" t="str">
        <f>PROPER(Table2[[#This Row],[Brand]])</f>
        <v>Lalique</v>
      </c>
      <c r="E352" t="s">
        <v>15</v>
      </c>
      <c r="F352">
        <v>26.52</v>
      </c>
      <c r="G352" t="s">
        <v>1201</v>
      </c>
      <c r="H35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$26.52</v>
      </c>
      <c r="I352" t="str">
        <f>LEFT(Table2[[#This Row],[priceWithCurrency]],3)</f>
        <v xml:space="preserve">US </v>
      </c>
      <c r="K352" t="str">
        <f>IF(Table2[[#This Row],[Available]]&lt;=50, "Less Stock", "Required stock" )</f>
        <v>Less Stock</v>
      </c>
      <c r="L352">
        <f t="shared" si="5"/>
        <v>367.26</v>
      </c>
      <c r="M352" t="s">
        <v>1202</v>
      </c>
      <c r="N352">
        <v>1866</v>
      </c>
      <c r="O352" t="s">
        <v>1203</v>
      </c>
      <c r="P352" t="str">
        <f>RIGHT(RIGHT(Table2[[#This Row],[last Updated]],12),4)</f>
        <v xml:space="preserve"> PDT</v>
      </c>
      <c r="Q352" t="s">
        <v>121</v>
      </c>
    </row>
    <row r="353" spans="1:17" x14ac:dyDescent="0.25">
      <c r="A353" t="s">
        <v>14</v>
      </c>
      <c r="B353" t="str">
        <f>UPPER(Table2[[#This Row],[Brand]])</f>
        <v>UNBRANDED</v>
      </c>
      <c r="C353" t="str">
        <f>LOWER(Table2[[#This Row],[Brand]])</f>
        <v>unbranded</v>
      </c>
      <c r="D353" t="str">
        <f>PROPER(Table2[[#This Row],[Brand]])</f>
        <v>Unbranded</v>
      </c>
      <c r="E353" t="s">
        <v>32</v>
      </c>
      <c r="F353">
        <v>14.6</v>
      </c>
      <c r="G353" t="s">
        <v>1204</v>
      </c>
      <c r="H35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$14.60</v>
      </c>
      <c r="I353" t="str">
        <f>LEFT(Table2[[#This Row],[priceWithCurrency]],3)</f>
        <v xml:space="preserve">US </v>
      </c>
      <c r="J353">
        <v>5</v>
      </c>
      <c r="K353" t="str">
        <f>IF(Table2[[#This Row],[Available]]&lt;=50, "Less Stock", "Required stock" )</f>
        <v>Less Stock</v>
      </c>
      <c r="L353">
        <f t="shared" si="5"/>
        <v>119.73</v>
      </c>
      <c r="M353" t="s">
        <v>1205</v>
      </c>
      <c r="N353">
        <v>94</v>
      </c>
      <c r="O353" t="s">
        <v>1206</v>
      </c>
      <c r="P353" t="str">
        <f>RIGHT(RIGHT(Table2[[#This Row],[last Updated]],12),4)</f>
        <v xml:space="preserve"> PDT</v>
      </c>
      <c r="Q353" t="s">
        <v>1207</v>
      </c>
    </row>
    <row r="354" spans="1:17" x14ac:dyDescent="0.25">
      <c r="A354" t="s">
        <v>1208</v>
      </c>
      <c r="B354" t="str">
        <f>UPPER(Table2[[#This Row],[Brand]])</f>
        <v>LUCIANNO</v>
      </c>
      <c r="C354" t="str">
        <f>LOWER(Table2[[#This Row],[Brand]])</f>
        <v>lucianno</v>
      </c>
      <c r="D354" t="str">
        <f>PROPER(Table2[[#This Row],[Brand]])</f>
        <v>Lucianno</v>
      </c>
      <c r="E354" t="s">
        <v>1209</v>
      </c>
      <c r="F354">
        <v>66</v>
      </c>
      <c r="G354" t="s">
        <v>1210</v>
      </c>
      <c r="H35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$66.00</v>
      </c>
      <c r="I354" t="str">
        <f>LEFT(Table2[[#This Row],[priceWithCurrency]],3)</f>
        <v>C $</v>
      </c>
      <c r="J354">
        <v>10</v>
      </c>
      <c r="K354" t="str">
        <f>IF(Table2[[#This Row],[Available]]&lt;=50, "Less Stock", "Required stock" )</f>
        <v>Less Stock</v>
      </c>
      <c r="L354">
        <f t="shared" si="5"/>
        <v>136.36000000000001</v>
      </c>
      <c r="M354" t="s">
        <v>1211</v>
      </c>
      <c r="N354">
        <v>21</v>
      </c>
      <c r="O354" t="s">
        <v>1212</v>
      </c>
      <c r="P354" t="str">
        <f>RIGHT(RIGHT(Table2[[#This Row],[last Updated]],12),4)</f>
        <v xml:space="preserve"> PDT</v>
      </c>
      <c r="Q354" t="s">
        <v>1213</v>
      </c>
    </row>
    <row r="355" spans="1:17" x14ac:dyDescent="0.25">
      <c r="A355" t="s">
        <v>1214</v>
      </c>
      <c r="B355" t="str">
        <f>UPPER(Table2[[#This Row],[Brand]])</f>
        <v>VIKTOR &amp; ROLF</v>
      </c>
      <c r="C355" t="str">
        <f>LOWER(Table2[[#This Row],[Brand]])</f>
        <v>viktor &amp; rolf</v>
      </c>
      <c r="D355" t="str">
        <f>PROPER(Table2[[#This Row],[Brand]])</f>
        <v>Viktor &amp; Rolf</v>
      </c>
      <c r="E355" t="s">
        <v>4</v>
      </c>
      <c r="F355">
        <v>86.72</v>
      </c>
      <c r="G355" t="s">
        <v>1215</v>
      </c>
      <c r="H35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$86.72</v>
      </c>
      <c r="I355" t="str">
        <f>LEFT(Table2[[#This Row],[priceWithCurrency]],3)</f>
        <v xml:space="preserve">US </v>
      </c>
      <c r="J355">
        <v>10</v>
      </c>
      <c r="K355" t="str">
        <f>IF(Table2[[#This Row],[Available]]&lt;=50, "Less Stock", "Required stock" )</f>
        <v>Less Stock</v>
      </c>
      <c r="L355">
        <f t="shared" si="5"/>
        <v>1564.9500000000003</v>
      </c>
      <c r="M355" t="s">
        <v>1216</v>
      </c>
      <c r="N355">
        <v>1296</v>
      </c>
      <c r="O355" t="s">
        <v>1217</v>
      </c>
      <c r="P355" t="str">
        <f>RIGHT(RIGHT(Table2[[#This Row],[last Updated]],12),4)</f>
        <v xml:space="preserve"> PDT</v>
      </c>
      <c r="Q355" t="s">
        <v>108</v>
      </c>
    </row>
    <row r="356" spans="1:17" x14ac:dyDescent="0.25">
      <c r="A356" t="s">
        <v>742</v>
      </c>
      <c r="B356" t="str">
        <f>UPPER(Table2[[#This Row],[Brand]])</f>
        <v>PAUL SEBASTIAN</v>
      </c>
      <c r="C356" t="str">
        <f>LOWER(Table2[[#This Row],[Brand]])</f>
        <v>paul sebastian</v>
      </c>
      <c r="D356" t="str">
        <f>PROPER(Table2[[#This Row],[Brand]])</f>
        <v>Paul Sebastian</v>
      </c>
      <c r="E356" t="s">
        <v>1218</v>
      </c>
      <c r="F356">
        <v>26.1</v>
      </c>
      <c r="G356" t="s">
        <v>1219</v>
      </c>
      <c r="H35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$26.10</v>
      </c>
      <c r="I356" t="str">
        <f>LEFT(Table2[[#This Row],[priceWithCurrency]],3)</f>
        <v xml:space="preserve">US </v>
      </c>
      <c r="J356">
        <v>4</v>
      </c>
      <c r="K356" t="str">
        <f>IF(Table2[[#This Row],[Available]]&lt;=50, "Less Stock", "Required stock" )</f>
        <v>Less Stock</v>
      </c>
      <c r="L356">
        <f t="shared" si="5"/>
        <v>1210.9400000000003</v>
      </c>
      <c r="M356" t="s">
        <v>1220</v>
      </c>
      <c r="N356">
        <v>4934</v>
      </c>
      <c r="O356" t="s">
        <v>734</v>
      </c>
      <c r="P356" t="str">
        <f>RIGHT(RIGHT(Table2[[#This Row],[last Updated]],12),4)</f>
        <v xml:space="preserve"> PDT</v>
      </c>
      <c r="Q356" t="s">
        <v>108</v>
      </c>
    </row>
    <row r="357" spans="1:17" x14ac:dyDescent="0.25">
      <c r="A357" t="s">
        <v>56</v>
      </c>
      <c r="B357" t="str">
        <f>UPPER(Table2[[#This Row],[Brand]])</f>
        <v>RALPH LAUREN</v>
      </c>
      <c r="C357" t="str">
        <f>LOWER(Table2[[#This Row],[Brand]])</f>
        <v>ralph lauren</v>
      </c>
      <c r="D357" t="str">
        <f>PROPER(Table2[[#This Row],[Brand]])</f>
        <v>Ralph Lauren</v>
      </c>
      <c r="E357" t="s">
        <v>15</v>
      </c>
      <c r="F357">
        <v>28.2</v>
      </c>
      <c r="G357" t="s">
        <v>1221</v>
      </c>
      <c r="H35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$28.20</v>
      </c>
      <c r="I357" t="str">
        <f>LEFT(Table2[[#This Row],[priceWithCurrency]],3)</f>
        <v xml:space="preserve">US </v>
      </c>
      <c r="J357">
        <v>8</v>
      </c>
      <c r="K357" t="str">
        <f>IF(Table2[[#This Row],[Available]]&lt;=50, "Less Stock", "Required stock" )</f>
        <v>Less Stock</v>
      </c>
      <c r="L357">
        <f t="shared" si="5"/>
        <v>1210.9400000000003</v>
      </c>
      <c r="M357" t="s">
        <v>1222</v>
      </c>
      <c r="N357">
        <v>24</v>
      </c>
      <c r="O357" t="s">
        <v>1223</v>
      </c>
      <c r="P357" t="str">
        <f>RIGHT(RIGHT(Table2[[#This Row],[last Updated]],12),4)</f>
        <v xml:space="preserve"> PDT</v>
      </c>
      <c r="Q357" t="s">
        <v>94</v>
      </c>
    </row>
    <row r="358" spans="1:17" x14ac:dyDescent="0.25">
      <c r="A358" t="s">
        <v>623</v>
      </c>
      <c r="B358" t="str">
        <f>UPPER(Table2[[#This Row],[Brand]])</f>
        <v>J. DEL POZO</v>
      </c>
      <c r="C358" t="str">
        <f>LOWER(Table2[[#This Row],[Brand]])</f>
        <v>j. del pozo</v>
      </c>
      <c r="D358" t="str">
        <f>PROPER(Table2[[#This Row],[Brand]])</f>
        <v>J. Del Pozo</v>
      </c>
      <c r="E358" t="s">
        <v>15</v>
      </c>
      <c r="F358">
        <v>27.4</v>
      </c>
      <c r="G358" t="s">
        <v>1224</v>
      </c>
      <c r="H35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$27.40</v>
      </c>
      <c r="I358" t="str">
        <f>LEFT(Table2[[#This Row],[priceWithCurrency]],3)</f>
        <v xml:space="preserve">US </v>
      </c>
      <c r="J358">
        <v>52</v>
      </c>
      <c r="K358" t="str">
        <f>IF(Table2[[#This Row],[Available]]&lt;=50, "Less Stock", "Required stock" )</f>
        <v>Required stock</v>
      </c>
      <c r="L358">
        <f t="shared" si="5"/>
        <v>1210.9400000000003</v>
      </c>
      <c r="M358" t="s">
        <v>1225</v>
      </c>
      <c r="N358">
        <v>397</v>
      </c>
      <c r="O358" t="s">
        <v>1226</v>
      </c>
      <c r="P358" t="str">
        <f>RIGHT(RIGHT(Table2[[#This Row],[last Updated]],12),4)</f>
        <v xml:space="preserve"> PDT</v>
      </c>
      <c r="Q358" t="s">
        <v>121</v>
      </c>
    </row>
    <row r="359" spans="1:17" x14ac:dyDescent="0.25">
      <c r="A359" t="s">
        <v>1214</v>
      </c>
      <c r="B359" t="str">
        <f>UPPER(Table2[[#This Row],[Brand]])</f>
        <v>VIKTOR &amp; ROLF</v>
      </c>
      <c r="C359" t="str">
        <f>LOWER(Table2[[#This Row],[Brand]])</f>
        <v>viktor &amp; rolf</v>
      </c>
      <c r="D359" t="str">
        <f>PROPER(Table2[[#This Row],[Brand]])</f>
        <v>Viktor &amp; Rolf</v>
      </c>
      <c r="E359" t="s">
        <v>15</v>
      </c>
      <c r="F359">
        <v>17.98</v>
      </c>
      <c r="G359" t="s">
        <v>1227</v>
      </c>
      <c r="H35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$17.98</v>
      </c>
      <c r="I359" t="str">
        <f>LEFT(Table2[[#This Row],[priceWithCurrency]],3)</f>
        <v xml:space="preserve">US </v>
      </c>
      <c r="J359">
        <v>10</v>
      </c>
      <c r="K359" t="str">
        <f>IF(Table2[[#This Row],[Available]]&lt;=50, "Less Stock", "Required stock" )</f>
        <v>Less Stock</v>
      </c>
      <c r="L359">
        <f t="shared" si="5"/>
        <v>1210.9400000000003</v>
      </c>
      <c r="M359" t="s">
        <v>1228</v>
      </c>
      <c r="N359">
        <v>66</v>
      </c>
      <c r="O359" t="s">
        <v>1229</v>
      </c>
      <c r="P359" t="str">
        <f>RIGHT(RIGHT(Table2[[#This Row],[last Updated]],12),4)</f>
        <v xml:space="preserve"> PDT</v>
      </c>
      <c r="Q359" t="s">
        <v>1230</v>
      </c>
    </row>
    <row r="360" spans="1:17" x14ac:dyDescent="0.25">
      <c r="A360" t="s">
        <v>1231</v>
      </c>
      <c r="B360" t="str">
        <f>UPPER(Table2[[#This Row],[Brand]])</f>
        <v>ROCHAS</v>
      </c>
      <c r="C360" t="str">
        <f>LOWER(Table2[[#This Row],[Brand]])</f>
        <v>rochas</v>
      </c>
      <c r="D360" t="str">
        <f>PROPER(Table2[[#This Row],[Brand]])</f>
        <v>Rochas</v>
      </c>
      <c r="E360" t="s">
        <v>15</v>
      </c>
      <c r="F360">
        <v>24.55</v>
      </c>
      <c r="G360" t="s">
        <v>1232</v>
      </c>
      <c r="H36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$24.55</v>
      </c>
      <c r="I360" t="str">
        <f>LEFT(Table2[[#This Row],[priceWithCurrency]],3)</f>
        <v xml:space="preserve">US </v>
      </c>
      <c r="J360">
        <v>23</v>
      </c>
      <c r="K360" t="str">
        <f>IF(Table2[[#This Row],[Available]]&lt;=50, "Less Stock", "Required stock" )</f>
        <v>Less Stock</v>
      </c>
      <c r="L360">
        <f t="shared" si="5"/>
        <v>1232.8900000000003</v>
      </c>
      <c r="M360" t="s">
        <v>1233</v>
      </c>
      <c r="N360">
        <v>433</v>
      </c>
      <c r="O360" t="s">
        <v>1234</v>
      </c>
      <c r="P360" t="str">
        <f>RIGHT(RIGHT(Table2[[#This Row],[last Updated]],12),4)</f>
        <v xml:space="preserve"> PDT</v>
      </c>
      <c r="Q360" t="s">
        <v>121</v>
      </c>
    </row>
    <row r="361" spans="1:17" x14ac:dyDescent="0.25">
      <c r="A361" t="s">
        <v>1235</v>
      </c>
      <c r="B361" t="str">
        <f>UPPER(Table2[[#This Row],[Brand]])</f>
        <v>PRADA</v>
      </c>
      <c r="C361" t="str">
        <f>LOWER(Table2[[#This Row],[Brand]])</f>
        <v>prada</v>
      </c>
      <c r="D361" t="str">
        <f>PROPER(Table2[[#This Row],[Brand]])</f>
        <v>Prada</v>
      </c>
      <c r="E361" t="s">
        <v>4</v>
      </c>
      <c r="F361">
        <v>90.44</v>
      </c>
      <c r="G361" t="s">
        <v>1236</v>
      </c>
      <c r="H36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$90.44</v>
      </c>
      <c r="I361" t="str">
        <f>LEFT(Table2[[#This Row],[priceWithCurrency]],3)</f>
        <v xml:space="preserve">US </v>
      </c>
      <c r="K361" t="str">
        <f>IF(Table2[[#This Row],[Available]]&lt;=50, "Less Stock", "Required stock" )</f>
        <v>Less Stock</v>
      </c>
      <c r="L361">
        <f t="shared" si="5"/>
        <v>191.72</v>
      </c>
      <c r="M361" t="s">
        <v>1237</v>
      </c>
      <c r="N361">
        <v>587</v>
      </c>
      <c r="O361" t="s">
        <v>1238</v>
      </c>
      <c r="P361" t="str">
        <f>RIGHT(RIGHT(Table2[[#This Row],[last Updated]],12),4)</f>
        <v xml:space="preserve"> PDT</v>
      </c>
      <c r="Q361" t="s">
        <v>108</v>
      </c>
    </row>
    <row r="362" spans="1:17" x14ac:dyDescent="0.25">
      <c r="A362" t="s">
        <v>56</v>
      </c>
      <c r="B362" t="str">
        <f>UPPER(Table2[[#This Row],[Brand]])</f>
        <v>RALPH LAUREN</v>
      </c>
      <c r="C362" t="str">
        <f>LOWER(Table2[[#This Row],[Brand]])</f>
        <v>ralph lauren</v>
      </c>
      <c r="D362" t="str">
        <f>PROPER(Table2[[#This Row],[Brand]])</f>
        <v>Ralph Lauren</v>
      </c>
      <c r="E362" t="s">
        <v>15</v>
      </c>
      <c r="F362">
        <v>36.99</v>
      </c>
      <c r="G362" t="s">
        <v>517</v>
      </c>
      <c r="H36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$36.99</v>
      </c>
      <c r="I362" t="str">
        <f>LEFT(Table2[[#This Row],[priceWithCurrency]],3)</f>
        <v xml:space="preserve">US </v>
      </c>
      <c r="J362">
        <v>5</v>
      </c>
      <c r="K362" t="str">
        <f>IF(Table2[[#This Row],[Available]]&lt;=50, "Less Stock", "Required stock" )</f>
        <v>Less Stock</v>
      </c>
      <c r="L362">
        <f t="shared" si="5"/>
        <v>1204.9000000000003</v>
      </c>
      <c r="M362" t="s">
        <v>1239</v>
      </c>
      <c r="N362">
        <v>7</v>
      </c>
      <c r="O362" t="s">
        <v>1240</v>
      </c>
      <c r="P362" t="str">
        <f>RIGHT(RIGHT(Table2[[#This Row],[last Updated]],12),4)</f>
        <v xml:space="preserve"> PDT</v>
      </c>
      <c r="Q362" t="s">
        <v>94</v>
      </c>
    </row>
    <row r="363" spans="1:17" x14ac:dyDescent="0.25">
      <c r="A363" t="s">
        <v>1241</v>
      </c>
      <c r="B363" t="str">
        <f>UPPER(Table2[[#This Row],[Brand]])</f>
        <v>CLASSIC BRANDS</v>
      </c>
      <c r="C363" t="str">
        <f>LOWER(Table2[[#This Row],[Brand]])</f>
        <v>classic brands</v>
      </c>
      <c r="D363" t="str">
        <f>PROPER(Table2[[#This Row],[Brand]])</f>
        <v>Classic Brands</v>
      </c>
      <c r="E363" t="s">
        <v>374</v>
      </c>
      <c r="F363">
        <v>17.89</v>
      </c>
      <c r="G363" t="s">
        <v>1242</v>
      </c>
      <c r="H36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$17.89</v>
      </c>
      <c r="I363" t="str">
        <f>LEFT(Table2[[#This Row],[priceWithCurrency]],3)</f>
        <v xml:space="preserve">US </v>
      </c>
      <c r="J363">
        <v>10</v>
      </c>
      <c r="K363" t="str">
        <f>IF(Table2[[#This Row],[Available]]&lt;=50, "Less Stock", "Required stock" )</f>
        <v>Less Stock</v>
      </c>
      <c r="L363">
        <f t="shared" si="5"/>
        <v>1204.9000000000003</v>
      </c>
      <c r="M363" t="s">
        <v>1243</v>
      </c>
      <c r="N363">
        <v>2256</v>
      </c>
      <c r="O363" t="s">
        <v>1244</v>
      </c>
      <c r="P363" t="str">
        <f>RIGHT(RIGHT(Table2[[#This Row],[last Updated]],12),4)</f>
        <v xml:space="preserve"> PDT</v>
      </c>
      <c r="Q363" t="s">
        <v>1245</v>
      </c>
    </row>
    <row r="364" spans="1:17" x14ac:dyDescent="0.25">
      <c r="A364" t="s">
        <v>1246</v>
      </c>
      <c r="B364" t="str">
        <f>UPPER(Table2[[#This Row],[Brand]])</f>
        <v>REYANE TRADITION</v>
      </c>
      <c r="C364" t="str">
        <f>LOWER(Table2[[#This Row],[Brand]])</f>
        <v>reyane tradition</v>
      </c>
      <c r="D364" t="str">
        <f>PROPER(Table2[[#This Row],[Brand]])</f>
        <v>Reyane Tradition</v>
      </c>
      <c r="E364" t="s">
        <v>32</v>
      </c>
      <c r="F364">
        <v>85.2</v>
      </c>
      <c r="G364" t="s">
        <v>1247</v>
      </c>
      <c r="H36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$85.20</v>
      </c>
      <c r="I364" t="str">
        <f>LEFT(Table2[[#This Row],[priceWithCurrency]],3)</f>
        <v xml:space="preserve">US </v>
      </c>
      <c r="J364">
        <v>4</v>
      </c>
      <c r="K364" t="str">
        <f>IF(Table2[[#This Row],[Available]]&lt;=50, "Less Stock", "Required stock" )</f>
        <v>Less Stock</v>
      </c>
      <c r="L364">
        <f t="shared" si="5"/>
        <v>218.51</v>
      </c>
      <c r="M364" t="s">
        <v>1248</v>
      </c>
      <c r="N364">
        <v>73</v>
      </c>
      <c r="O364" t="s">
        <v>1249</v>
      </c>
      <c r="P364" t="str">
        <f>RIGHT(RIGHT(Table2[[#This Row],[last Updated]],12),4)</f>
        <v xml:space="preserve"> PDT</v>
      </c>
      <c r="Q364" t="s">
        <v>89</v>
      </c>
    </row>
    <row r="365" spans="1:17" x14ac:dyDescent="0.25">
      <c r="A365" t="s">
        <v>79</v>
      </c>
      <c r="B365" t="str">
        <f>UPPER(Table2[[#This Row],[Brand]])</f>
        <v>PACO RABANNE</v>
      </c>
      <c r="C365" t="str">
        <f>LOWER(Table2[[#This Row],[Brand]])</f>
        <v>paco rabanne</v>
      </c>
      <c r="D365" t="str">
        <f>PROPER(Table2[[#This Row],[Brand]])</f>
        <v>Paco Rabanne</v>
      </c>
      <c r="E365" t="s">
        <v>15</v>
      </c>
      <c r="F365">
        <v>108.98</v>
      </c>
      <c r="G365" t="s">
        <v>1250</v>
      </c>
      <c r="H36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$108.98</v>
      </c>
      <c r="I365" t="str">
        <f>LEFT(Table2[[#This Row],[priceWithCurrency]],3)</f>
        <v xml:space="preserve">US </v>
      </c>
      <c r="J365">
        <v>3</v>
      </c>
      <c r="K365" t="str">
        <f>IF(Table2[[#This Row],[Available]]&lt;=50, "Less Stock", "Required stock" )</f>
        <v>Less Stock</v>
      </c>
      <c r="L365">
        <f t="shared" si="5"/>
        <v>1233.8700000000003</v>
      </c>
      <c r="M365" t="s">
        <v>887</v>
      </c>
      <c r="N365">
        <v>33</v>
      </c>
      <c r="O365" t="s">
        <v>1251</v>
      </c>
      <c r="P365" t="str">
        <f>RIGHT(RIGHT(Table2[[#This Row],[last Updated]],12),4)</f>
        <v xml:space="preserve"> PDT</v>
      </c>
      <c r="Q365" t="s">
        <v>108</v>
      </c>
    </row>
    <row r="366" spans="1:17" x14ac:dyDescent="0.25">
      <c r="A366" t="s">
        <v>1252</v>
      </c>
      <c r="B366" t="str">
        <f>UPPER(Table2[[#This Row],[Brand]])</f>
        <v>GIORGIO BEVERLY HILLS</v>
      </c>
      <c r="C366" t="str">
        <f>LOWER(Table2[[#This Row],[Brand]])</f>
        <v>giorgio beverly hills</v>
      </c>
      <c r="D366" t="str">
        <f>PROPER(Table2[[#This Row],[Brand]])</f>
        <v>Giorgio Beverly Hills</v>
      </c>
      <c r="E366" t="s">
        <v>15</v>
      </c>
      <c r="F366">
        <v>16.04</v>
      </c>
      <c r="G366" t="s">
        <v>1253</v>
      </c>
      <c r="H36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$16.04</v>
      </c>
      <c r="I366" t="str">
        <f>LEFT(Table2[[#This Row],[priceWithCurrency]],3)</f>
        <v xml:space="preserve">US </v>
      </c>
      <c r="J366">
        <v>31</v>
      </c>
      <c r="K366" t="str">
        <f>IF(Table2[[#This Row],[Available]]&lt;=50, "Less Stock", "Required stock" )</f>
        <v>Less Stock</v>
      </c>
      <c r="L366">
        <f t="shared" si="5"/>
        <v>1233.8700000000003</v>
      </c>
      <c r="M366" t="s">
        <v>1254</v>
      </c>
      <c r="N366">
        <v>2817</v>
      </c>
      <c r="O366" t="s">
        <v>1255</v>
      </c>
      <c r="P366" t="str">
        <f>RIGHT(RIGHT(Table2[[#This Row],[last Updated]],12),4)</f>
        <v xml:space="preserve"> PDT</v>
      </c>
      <c r="Q366" t="s">
        <v>121</v>
      </c>
    </row>
    <row r="367" spans="1:17" x14ac:dyDescent="0.25">
      <c r="A367" t="s">
        <v>270</v>
      </c>
      <c r="B367" t="str">
        <f>UPPER(Table2[[#This Row],[Brand]])</f>
        <v>YVES SAINT LAURENT</v>
      </c>
      <c r="C367" t="str">
        <f>LOWER(Table2[[#This Row],[Brand]])</f>
        <v>yves saint laurent</v>
      </c>
      <c r="D367" t="str">
        <f>PROPER(Table2[[#This Row],[Brand]])</f>
        <v>Yves Saint Laurent</v>
      </c>
      <c r="E367" t="s">
        <v>15</v>
      </c>
      <c r="F367">
        <v>45.98</v>
      </c>
      <c r="G367" t="s">
        <v>1256</v>
      </c>
      <c r="H36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$45.98</v>
      </c>
      <c r="I367" t="str">
        <f>LEFT(Table2[[#This Row],[priceWithCurrency]],3)</f>
        <v xml:space="preserve">US </v>
      </c>
      <c r="J367">
        <v>7</v>
      </c>
      <c r="K367" t="str">
        <f>IF(Table2[[#This Row],[Available]]&lt;=50, "Less Stock", "Required stock" )</f>
        <v>Less Stock</v>
      </c>
      <c r="L367">
        <f t="shared" si="5"/>
        <v>1233.8700000000003</v>
      </c>
      <c r="M367" t="s">
        <v>1257</v>
      </c>
      <c r="N367">
        <v>343</v>
      </c>
      <c r="O367" t="s">
        <v>1258</v>
      </c>
      <c r="P367" t="str">
        <f>RIGHT(RIGHT(Table2[[#This Row],[last Updated]],12),4)</f>
        <v xml:space="preserve"> PDT</v>
      </c>
      <c r="Q367" t="s">
        <v>30</v>
      </c>
    </row>
    <row r="368" spans="1:17" x14ac:dyDescent="0.25">
      <c r="A368" t="s">
        <v>1235</v>
      </c>
      <c r="B368" t="str">
        <f>UPPER(Table2[[#This Row],[Brand]])</f>
        <v>PRADA</v>
      </c>
      <c r="C368" t="str">
        <f>LOWER(Table2[[#This Row],[Brand]])</f>
        <v>prada</v>
      </c>
      <c r="D368" t="str">
        <f>PROPER(Table2[[#This Row],[Brand]])</f>
        <v>Prada</v>
      </c>
      <c r="E368" t="s">
        <v>15</v>
      </c>
      <c r="F368">
        <v>84.73</v>
      </c>
      <c r="G368" t="s">
        <v>1259</v>
      </c>
      <c r="H36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$84.73</v>
      </c>
      <c r="I368" t="str">
        <f>LEFT(Table2[[#This Row],[priceWithCurrency]],3)</f>
        <v xml:space="preserve">US </v>
      </c>
      <c r="K368" t="str">
        <f>IF(Table2[[#This Row],[Available]]&lt;=50, "Less Stock", "Required stock" )</f>
        <v>Less Stock</v>
      </c>
      <c r="L368">
        <f t="shared" si="5"/>
        <v>1523.7100000000003</v>
      </c>
      <c r="M368" t="s">
        <v>1260</v>
      </c>
      <c r="N368">
        <v>2774</v>
      </c>
      <c r="O368" t="s">
        <v>1261</v>
      </c>
      <c r="P368" t="str">
        <f>RIGHT(RIGHT(Table2[[#This Row],[last Updated]],12),4)</f>
        <v xml:space="preserve"> PDT</v>
      </c>
      <c r="Q368" t="s">
        <v>108</v>
      </c>
    </row>
    <row r="369" spans="1:17" x14ac:dyDescent="0.25">
      <c r="A369" t="s">
        <v>20</v>
      </c>
      <c r="B369" t="str">
        <f>UPPER(Table2[[#This Row],[Brand]])</f>
        <v>GIORGIO ARMANI</v>
      </c>
      <c r="C369" t="str">
        <f>LOWER(Table2[[#This Row],[Brand]])</f>
        <v>giorgio armani</v>
      </c>
      <c r="D369" t="str">
        <f>PROPER(Table2[[#This Row],[Brand]])</f>
        <v>Giorgio Armani</v>
      </c>
      <c r="E369" t="s">
        <v>4</v>
      </c>
      <c r="F369">
        <v>69.989999999999995</v>
      </c>
      <c r="G369" t="s">
        <v>616</v>
      </c>
      <c r="H36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$69.99</v>
      </c>
      <c r="I369" t="str">
        <f>LEFT(Table2[[#This Row],[priceWithCurrency]],3)</f>
        <v xml:space="preserve">US </v>
      </c>
      <c r="J369">
        <v>8</v>
      </c>
      <c r="K369" t="str">
        <f>IF(Table2[[#This Row],[Available]]&lt;=50, "Less Stock", "Required stock" )</f>
        <v>Less Stock</v>
      </c>
      <c r="L369">
        <f t="shared" si="5"/>
        <v>1473.7200000000003</v>
      </c>
      <c r="M369" t="s">
        <v>1262</v>
      </c>
      <c r="N369">
        <v>35</v>
      </c>
      <c r="O369" t="s">
        <v>1263</v>
      </c>
      <c r="P369" t="str">
        <f>RIGHT(RIGHT(Table2[[#This Row],[last Updated]],12),4)</f>
        <v xml:space="preserve"> PDT</v>
      </c>
      <c r="Q369" t="s">
        <v>430</v>
      </c>
    </row>
    <row r="370" spans="1:17" x14ac:dyDescent="0.25">
      <c r="A370" t="s">
        <v>170</v>
      </c>
      <c r="B370" t="str">
        <f>UPPER(Table2[[#This Row],[Brand]])</f>
        <v>RASASI</v>
      </c>
      <c r="C370" t="str">
        <f>LOWER(Table2[[#This Row],[Brand]])</f>
        <v>rasasi</v>
      </c>
      <c r="D370" t="str">
        <f>PROPER(Table2[[#This Row],[Brand]])</f>
        <v>Rasasi</v>
      </c>
      <c r="E370" t="s">
        <v>4</v>
      </c>
      <c r="F370">
        <v>45</v>
      </c>
      <c r="G370" t="s">
        <v>1264</v>
      </c>
      <c r="H37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$45.00</v>
      </c>
      <c r="I370" t="str">
        <f>LEFT(Table2[[#This Row],[priceWithCurrency]],3)</f>
        <v xml:space="preserve">US </v>
      </c>
      <c r="J370">
        <v>8</v>
      </c>
      <c r="K370" t="str">
        <f>IF(Table2[[#This Row],[Available]]&lt;=50, "Less Stock", "Required stock" )</f>
        <v>Less Stock</v>
      </c>
      <c r="L370">
        <f t="shared" si="5"/>
        <v>253.47000000000003</v>
      </c>
      <c r="M370" t="s">
        <v>1265</v>
      </c>
      <c r="N370">
        <v>37</v>
      </c>
      <c r="O370" t="s">
        <v>1266</v>
      </c>
      <c r="P370" t="str">
        <f>RIGHT(RIGHT(Table2[[#This Row],[last Updated]],12),4)</f>
        <v xml:space="preserve"> PDT</v>
      </c>
      <c r="Q370" t="s">
        <v>1267</v>
      </c>
    </row>
    <row r="371" spans="1:17" x14ac:dyDescent="0.25">
      <c r="A371" t="s">
        <v>20</v>
      </c>
      <c r="B371" t="str">
        <f>UPPER(Table2[[#This Row],[Brand]])</f>
        <v>GIORGIO ARMANI</v>
      </c>
      <c r="C371" t="str">
        <f>LOWER(Table2[[#This Row],[Brand]])</f>
        <v>giorgio armani</v>
      </c>
      <c r="D371" t="str">
        <f>PROPER(Table2[[#This Row],[Brand]])</f>
        <v>Giorgio Armani</v>
      </c>
      <c r="E371" t="s">
        <v>15</v>
      </c>
      <c r="F371">
        <v>48.95</v>
      </c>
      <c r="G371" t="s">
        <v>1088</v>
      </c>
      <c r="H37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$48.95</v>
      </c>
      <c r="I371" t="str">
        <f>LEFT(Table2[[#This Row],[priceWithCurrency]],3)</f>
        <v xml:space="preserve">US </v>
      </c>
      <c r="J371">
        <v>10</v>
      </c>
      <c r="K371" t="str">
        <f>IF(Table2[[#This Row],[Available]]&lt;=50, "Less Stock", "Required stock" )</f>
        <v>Less Stock</v>
      </c>
      <c r="L371">
        <f t="shared" si="5"/>
        <v>1207.42</v>
      </c>
      <c r="M371" t="s">
        <v>1268</v>
      </c>
      <c r="N371">
        <v>121</v>
      </c>
      <c r="O371" t="s">
        <v>1269</v>
      </c>
      <c r="P371" t="str">
        <f>RIGHT(RIGHT(Table2[[#This Row],[last Updated]],12),4)</f>
        <v xml:space="preserve"> PDT</v>
      </c>
      <c r="Q371" t="s">
        <v>607</v>
      </c>
    </row>
    <row r="372" spans="1:17" x14ac:dyDescent="0.25">
      <c r="A372" t="s">
        <v>835</v>
      </c>
      <c r="B372" t="str">
        <f>UPPER(Table2[[#This Row],[Brand]])</f>
        <v>CHANEL</v>
      </c>
      <c r="C372" t="str">
        <f>LOWER(Table2[[#This Row],[Brand]])</f>
        <v>chanel</v>
      </c>
      <c r="D372" t="str">
        <f>PROPER(Table2[[#This Row],[Brand]])</f>
        <v>Chanel</v>
      </c>
      <c r="E372" t="s">
        <v>15</v>
      </c>
      <c r="F372">
        <v>10.7</v>
      </c>
      <c r="G372" t="s">
        <v>1270</v>
      </c>
      <c r="H37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$10.70</v>
      </c>
      <c r="I372" t="str">
        <f>LEFT(Table2[[#This Row],[priceWithCurrency]],3)</f>
        <v xml:space="preserve">US </v>
      </c>
      <c r="J372">
        <v>5</v>
      </c>
      <c r="K372" t="str">
        <f>IF(Table2[[#This Row],[Available]]&lt;=50, "Less Stock", "Required stock" )</f>
        <v>Less Stock</v>
      </c>
      <c r="L372">
        <f t="shared" si="5"/>
        <v>1425.7300000000002</v>
      </c>
      <c r="M372" t="s">
        <v>1271</v>
      </c>
      <c r="N372">
        <v>163</v>
      </c>
      <c r="O372" t="s">
        <v>1272</v>
      </c>
      <c r="P372" t="str">
        <f>RIGHT(RIGHT(Table2[[#This Row],[last Updated]],12),4)</f>
        <v xml:space="preserve"> PDT</v>
      </c>
      <c r="Q372" t="s">
        <v>894</v>
      </c>
    </row>
    <row r="373" spans="1:17" x14ac:dyDescent="0.25">
      <c r="A373" t="s">
        <v>20</v>
      </c>
      <c r="B373" t="str">
        <f>UPPER(Table2[[#This Row],[Brand]])</f>
        <v>GIORGIO ARMANI</v>
      </c>
      <c r="C373" t="str">
        <f>LOWER(Table2[[#This Row],[Brand]])</f>
        <v>giorgio armani</v>
      </c>
      <c r="D373" t="str">
        <f>PROPER(Table2[[#This Row],[Brand]])</f>
        <v>Giorgio Armani</v>
      </c>
      <c r="E373" t="s">
        <v>15</v>
      </c>
      <c r="F373">
        <v>27.1</v>
      </c>
      <c r="G373" t="s">
        <v>1273</v>
      </c>
      <c r="H37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$27.10</v>
      </c>
      <c r="I373" t="str">
        <f>LEFT(Table2[[#This Row],[priceWithCurrency]],3)</f>
        <v xml:space="preserve">US </v>
      </c>
      <c r="J373">
        <v>8</v>
      </c>
      <c r="K373" t="str">
        <f>IF(Table2[[#This Row],[Available]]&lt;=50, "Less Stock", "Required stock" )</f>
        <v>Less Stock</v>
      </c>
      <c r="L373">
        <f t="shared" si="5"/>
        <v>1384.7400000000002</v>
      </c>
      <c r="M373" t="s">
        <v>1274</v>
      </c>
      <c r="N373">
        <v>28</v>
      </c>
      <c r="O373" t="s">
        <v>1275</v>
      </c>
      <c r="P373" t="str">
        <f>RIGHT(RIGHT(Table2[[#This Row],[last Updated]],12),4)</f>
        <v xml:space="preserve"> PDT</v>
      </c>
      <c r="Q373" t="s">
        <v>406</v>
      </c>
    </row>
    <row r="374" spans="1:17" x14ac:dyDescent="0.25">
      <c r="A374" t="s">
        <v>71</v>
      </c>
      <c r="B374" t="str">
        <f>UPPER(Table2[[#This Row],[Brand]])</f>
        <v>AS SHOW</v>
      </c>
      <c r="C374" t="str">
        <f>LOWER(Table2[[#This Row],[Brand]])</f>
        <v>as show</v>
      </c>
      <c r="D374" t="str">
        <f>PROPER(Table2[[#This Row],[Brand]])</f>
        <v>As Show</v>
      </c>
      <c r="E374" t="s">
        <v>15</v>
      </c>
      <c r="F374">
        <v>29.99</v>
      </c>
      <c r="G374" t="s">
        <v>91</v>
      </c>
      <c r="H37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$29.99</v>
      </c>
      <c r="I374" t="str">
        <f>LEFT(Table2[[#This Row],[priceWithCurrency]],3)</f>
        <v xml:space="preserve">US </v>
      </c>
      <c r="J374">
        <v>10</v>
      </c>
      <c r="K374" t="str">
        <f>IF(Table2[[#This Row],[Available]]&lt;=50, "Less Stock", "Required stock" )</f>
        <v>Less Stock</v>
      </c>
      <c r="L374">
        <f t="shared" si="5"/>
        <v>393.47</v>
      </c>
      <c r="M374" t="s">
        <v>1276</v>
      </c>
      <c r="N374">
        <v>92</v>
      </c>
      <c r="O374" t="s">
        <v>1277</v>
      </c>
      <c r="P374" t="str">
        <f>RIGHT(RIGHT(Table2[[#This Row],[last Updated]],12),4)</f>
        <v xml:space="preserve"> PDT</v>
      </c>
      <c r="Q374" t="s">
        <v>542</v>
      </c>
    </row>
    <row r="375" spans="1:17" x14ac:dyDescent="0.25">
      <c r="A375" t="s">
        <v>799</v>
      </c>
      <c r="B375" t="str">
        <f>UPPER(Table2[[#This Row],[Brand]])</f>
        <v>CREED</v>
      </c>
      <c r="C375" t="str">
        <f>LOWER(Table2[[#This Row],[Brand]])</f>
        <v>creed</v>
      </c>
      <c r="D375" t="str">
        <f>PROPER(Table2[[#This Row],[Brand]])</f>
        <v>Creed</v>
      </c>
      <c r="E375" t="s">
        <v>276</v>
      </c>
      <c r="F375">
        <v>212.89</v>
      </c>
      <c r="G375" t="s">
        <v>1278</v>
      </c>
      <c r="H37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$212.89</v>
      </c>
      <c r="I375" t="str">
        <f>LEFT(Table2[[#This Row],[priceWithCurrency]],3)</f>
        <v xml:space="preserve">US </v>
      </c>
      <c r="J375">
        <v>10</v>
      </c>
      <c r="K375" t="str">
        <f>IF(Table2[[#This Row],[Available]]&lt;=50, "Less Stock", "Required stock" )</f>
        <v>Less Stock</v>
      </c>
      <c r="L375">
        <f t="shared" si="5"/>
        <v>1373.13</v>
      </c>
      <c r="M375" t="s">
        <v>1279</v>
      </c>
      <c r="N375">
        <v>53</v>
      </c>
      <c r="O375" t="s">
        <v>1280</v>
      </c>
      <c r="P375" t="str">
        <f>RIGHT(RIGHT(Table2[[#This Row],[last Updated]],12),4)</f>
        <v xml:space="preserve"> PDT</v>
      </c>
      <c r="Q375" t="s">
        <v>226</v>
      </c>
    </row>
    <row r="376" spans="1:17" x14ac:dyDescent="0.25">
      <c r="A376" t="s">
        <v>270</v>
      </c>
      <c r="B376" t="str">
        <f>UPPER(Table2[[#This Row],[Brand]])</f>
        <v>YVES SAINT LAURENT</v>
      </c>
      <c r="C376" t="str">
        <f>LOWER(Table2[[#This Row],[Brand]])</f>
        <v>yves saint laurent</v>
      </c>
      <c r="D376" t="str">
        <f>PROPER(Table2[[#This Row],[Brand]])</f>
        <v>Yves Saint Laurent</v>
      </c>
      <c r="E376" t="s">
        <v>15</v>
      </c>
      <c r="F376">
        <v>71.98</v>
      </c>
      <c r="G376" t="s">
        <v>1281</v>
      </c>
      <c r="H37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$71.98</v>
      </c>
      <c r="I376" t="str">
        <f>LEFT(Table2[[#This Row],[priceWithCurrency]],3)</f>
        <v xml:space="preserve">US </v>
      </c>
      <c r="K376" t="str">
        <f>IF(Table2[[#This Row],[Available]]&lt;=50, "Less Stock", "Required stock" )</f>
        <v>Less Stock</v>
      </c>
      <c r="L376">
        <f t="shared" si="5"/>
        <v>1373.13</v>
      </c>
      <c r="M376" t="s">
        <v>1282</v>
      </c>
      <c r="N376">
        <v>2153</v>
      </c>
      <c r="O376" t="s">
        <v>1283</v>
      </c>
      <c r="P376" t="str">
        <f>RIGHT(RIGHT(Table2[[#This Row],[last Updated]],12),4)</f>
        <v xml:space="preserve"> PDT</v>
      </c>
      <c r="Q376" t="s">
        <v>108</v>
      </c>
    </row>
    <row r="377" spans="1:17" x14ac:dyDescent="0.25">
      <c r="A377" t="s">
        <v>3</v>
      </c>
      <c r="B377" t="str">
        <f>UPPER(Table2[[#This Row],[Brand]])</f>
        <v>DIOR</v>
      </c>
      <c r="C377" t="str">
        <f>LOWER(Table2[[#This Row],[Brand]])</f>
        <v>dior</v>
      </c>
      <c r="D377" t="str">
        <f>PROPER(Table2[[#This Row],[Brand]])</f>
        <v>Dior</v>
      </c>
      <c r="E377" t="s">
        <v>15</v>
      </c>
      <c r="F377">
        <v>89.98</v>
      </c>
      <c r="G377" t="s">
        <v>1284</v>
      </c>
      <c r="H37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$89.98</v>
      </c>
      <c r="I377" t="str">
        <f>LEFT(Table2[[#This Row],[priceWithCurrency]],3)</f>
        <v xml:space="preserve">US </v>
      </c>
      <c r="J377">
        <v>8</v>
      </c>
      <c r="K377" t="str">
        <f>IF(Table2[[#This Row],[Available]]&lt;=50, "Less Stock", "Required stock" )</f>
        <v>Less Stock</v>
      </c>
      <c r="L377">
        <f t="shared" si="5"/>
        <v>76.08</v>
      </c>
      <c r="M377" t="s">
        <v>1285</v>
      </c>
      <c r="N377">
        <v>1243</v>
      </c>
      <c r="O377" t="s">
        <v>1286</v>
      </c>
      <c r="P377" t="str">
        <f>RIGHT(RIGHT(Table2[[#This Row],[last Updated]],12),4)</f>
        <v xml:space="preserve"> PDT</v>
      </c>
      <c r="Q377" t="s">
        <v>108</v>
      </c>
    </row>
    <row r="378" spans="1:17" x14ac:dyDescent="0.25">
      <c r="A378" t="s">
        <v>943</v>
      </c>
      <c r="B378" t="str">
        <f>UPPER(Table2[[#This Row],[Brand]])</f>
        <v>AS SHOWED</v>
      </c>
      <c r="C378" t="str">
        <f>LOWER(Table2[[#This Row],[Brand]])</f>
        <v>as showed</v>
      </c>
      <c r="D378" t="str">
        <f>PROPER(Table2[[#This Row],[Brand]])</f>
        <v>As Showed</v>
      </c>
      <c r="E378" t="s">
        <v>15</v>
      </c>
      <c r="F378">
        <v>43.47</v>
      </c>
      <c r="G378" t="s">
        <v>1287</v>
      </c>
      <c r="H37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$43.47</v>
      </c>
      <c r="I378" t="str">
        <f>LEFT(Table2[[#This Row],[priceWithCurrency]],3)</f>
        <v xml:space="preserve">US </v>
      </c>
      <c r="J378">
        <v>10</v>
      </c>
      <c r="K378" t="str">
        <f>IF(Table2[[#This Row],[Available]]&lt;=50, "Less Stock", "Required stock" )</f>
        <v>Less Stock</v>
      </c>
      <c r="L378">
        <f t="shared" si="5"/>
        <v>393.47</v>
      </c>
      <c r="M378" t="s">
        <v>1288</v>
      </c>
      <c r="N378">
        <v>34</v>
      </c>
      <c r="O378" t="s">
        <v>1289</v>
      </c>
      <c r="P378" t="str">
        <f>RIGHT(RIGHT(Table2[[#This Row],[last Updated]],12),4)</f>
        <v xml:space="preserve"> PDT</v>
      </c>
      <c r="Q378" t="s">
        <v>1290</v>
      </c>
    </row>
    <row r="379" spans="1:17" x14ac:dyDescent="0.25">
      <c r="A379" t="s">
        <v>1291</v>
      </c>
      <c r="B379" t="str">
        <f>UPPER(Table2[[#This Row],[Brand]])</f>
        <v>MYRURGIA</v>
      </c>
      <c r="C379" t="str">
        <f>LOWER(Table2[[#This Row],[Brand]])</f>
        <v>myrurgia</v>
      </c>
      <c r="D379" t="str">
        <f>PROPER(Table2[[#This Row],[Brand]])</f>
        <v>Myrurgia</v>
      </c>
      <c r="E379" t="s">
        <v>15</v>
      </c>
      <c r="F379">
        <v>9.98</v>
      </c>
      <c r="G379" t="s">
        <v>1292</v>
      </c>
      <c r="H37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$9.98</v>
      </c>
      <c r="I379" t="str">
        <f>LEFT(Table2[[#This Row],[priceWithCurrency]],3)</f>
        <v xml:space="preserve">US </v>
      </c>
      <c r="J379">
        <v>36</v>
      </c>
      <c r="K379" t="str">
        <f>IF(Table2[[#This Row],[Available]]&lt;=50, "Less Stock", "Required stock" )</f>
        <v>Less Stock</v>
      </c>
      <c r="L379">
        <f t="shared" si="5"/>
        <v>258.5</v>
      </c>
      <c r="M379" t="s">
        <v>1293</v>
      </c>
      <c r="N379">
        <v>8453</v>
      </c>
      <c r="O379" t="s">
        <v>1294</v>
      </c>
      <c r="P379" t="str">
        <f>RIGHT(RIGHT(Table2[[#This Row],[last Updated]],12),4)</f>
        <v xml:space="preserve"> PDT</v>
      </c>
      <c r="Q379" t="s">
        <v>121</v>
      </c>
    </row>
    <row r="380" spans="1:17" x14ac:dyDescent="0.25">
      <c r="A380" t="s">
        <v>25</v>
      </c>
      <c r="B380" t="str">
        <f>UPPER(Table2[[#This Row],[Brand]])</f>
        <v>LATTAFA</v>
      </c>
      <c r="C380" t="str">
        <f>LOWER(Table2[[#This Row],[Brand]])</f>
        <v>lattafa</v>
      </c>
      <c r="D380" t="str">
        <f>PROPER(Table2[[#This Row],[Brand]])</f>
        <v>Lattafa</v>
      </c>
      <c r="E380" t="s">
        <v>4</v>
      </c>
      <c r="F380">
        <v>24.4</v>
      </c>
      <c r="G380" t="s">
        <v>1295</v>
      </c>
      <c r="H38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$24.40</v>
      </c>
      <c r="I380" t="str">
        <f>LEFT(Table2[[#This Row],[priceWithCurrency]],3)</f>
        <v xml:space="preserve">US </v>
      </c>
      <c r="J380">
        <v>50</v>
      </c>
      <c r="K380" t="str">
        <f>IF(Table2[[#This Row],[Available]]&lt;=50, "Less Stock", "Required stock" )</f>
        <v>Less Stock</v>
      </c>
      <c r="L380">
        <f t="shared" si="5"/>
        <v>1286.2099999999998</v>
      </c>
      <c r="M380" t="s">
        <v>1296</v>
      </c>
      <c r="N380">
        <v>14</v>
      </c>
      <c r="O380" t="s">
        <v>1297</v>
      </c>
      <c r="P380" t="str">
        <f>RIGHT(RIGHT(Table2[[#This Row],[last Updated]],12),4)</f>
        <v xml:space="preserve"> PDT</v>
      </c>
      <c r="Q380" t="s">
        <v>1298</v>
      </c>
    </row>
    <row r="381" spans="1:17" x14ac:dyDescent="0.25">
      <c r="A381" t="s">
        <v>1056</v>
      </c>
      <c r="B381" t="str">
        <f>UPPER(Table2[[#This Row],[Brand]])</f>
        <v>AL WATANIAH</v>
      </c>
      <c r="C381" t="str">
        <f>LOWER(Table2[[#This Row],[Brand]])</f>
        <v>al wataniah</v>
      </c>
      <c r="D381" t="str">
        <f>PROPER(Table2[[#This Row],[Brand]])</f>
        <v>Al Wataniah</v>
      </c>
      <c r="E381" t="s">
        <v>276</v>
      </c>
      <c r="F381">
        <v>50</v>
      </c>
      <c r="G381" t="s">
        <v>1299</v>
      </c>
      <c r="H38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$50.00</v>
      </c>
      <c r="I381" t="str">
        <f>LEFT(Table2[[#This Row],[priceWithCurrency]],3)</f>
        <v>C $</v>
      </c>
      <c r="J381">
        <v>10</v>
      </c>
      <c r="K381" t="str">
        <f>IF(Table2[[#This Row],[Available]]&lt;=50, "Less Stock", "Required stock" )</f>
        <v>Less Stock</v>
      </c>
      <c r="L381">
        <f t="shared" si="5"/>
        <v>393.47</v>
      </c>
      <c r="M381" t="s">
        <v>1110</v>
      </c>
      <c r="N381">
        <v>19</v>
      </c>
      <c r="O381" t="s">
        <v>1300</v>
      </c>
      <c r="P381" t="str">
        <f>RIGHT(RIGHT(Table2[[#This Row],[last Updated]],12),4)</f>
        <v xml:space="preserve"> PDT</v>
      </c>
      <c r="Q381" t="s">
        <v>1213</v>
      </c>
    </row>
    <row r="382" spans="1:17" x14ac:dyDescent="0.25">
      <c r="A382" t="s">
        <v>1301</v>
      </c>
      <c r="B382" t="str">
        <f>UPPER(Table2[[#This Row],[Brand]])</f>
        <v>JOVAN</v>
      </c>
      <c r="C382" t="str">
        <f>LOWER(Table2[[#This Row],[Brand]])</f>
        <v>jovan</v>
      </c>
      <c r="D382" t="str">
        <f>PROPER(Table2[[#This Row],[Brand]])</f>
        <v>Jovan</v>
      </c>
      <c r="E382" t="s">
        <v>374</v>
      </c>
      <c r="F382">
        <v>10.19</v>
      </c>
      <c r="G382" t="s">
        <v>1302</v>
      </c>
      <c r="H38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$10.19</v>
      </c>
      <c r="I382" t="str">
        <f>LEFT(Table2[[#This Row],[priceWithCurrency]],3)</f>
        <v xml:space="preserve">US </v>
      </c>
      <c r="J382">
        <v>44</v>
      </c>
      <c r="K382" t="str">
        <f>IF(Table2[[#This Row],[Available]]&lt;=50, "Less Stock", "Required stock" )</f>
        <v>Less Stock</v>
      </c>
      <c r="L382">
        <f t="shared" si="5"/>
        <v>1316.1999999999998</v>
      </c>
      <c r="M382" t="s">
        <v>1303</v>
      </c>
      <c r="N382">
        <v>330</v>
      </c>
      <c r="O382" t="s">
        <v>1304</v>
      </c>
      <c r="P382" t="str">
        <f>RIGHT(RIGHT(Table2[[#This Row],[last Updated]],12),4)</f>
        <v xml:space="preserve"> PDT</v>
      </c>
      <c r="Q382" t="s">
        <v>121</v>
      </c>
    </row>
    <row r="383" spans="1:17" x14ac:dyDescent="0.25">
      <c r="A383" t="s">
        <v>1305</v>
      </c>
      <c r="B383" t="str">
        <f>UPPER(Table2[[#This Row],[Brand]])</f>
        <v>COTY INC.</v>
      </c>
      <c r="C383" t="str">
        <f>LOWER(Table2[[#This Row],[Brand]])</f>
        <v>coty inc.</v>
      </c>
      <c r="D383" t="str">
        <f>PROPER(Table2[[#This Row],[Brand]])</f>
        <v>Coty Inc.</v>
      </c>
      <c r="E383" t="s">
        <v>1306</v>
      </c>
      <c r="F383">
        <v>9.2100000000000009</v>
      </c>
      <c r="G383" t="s">
        <v>1307</v>
      </c>
      <c r="H38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$9.21</v>
      </c>
      <c r="I383" t="str">
        <f>LEFT(Table2[[#This Row],[priceWithCurrency]],3)</f>
        <v xml:space="preserve">US </v>
      </c>
      <c r="J383">
        <v>5</v>
      </c>
      <c r="K383" t="str">
        <f>IF(Table2[[#This Row],[Available]]&lt;=50, "Less Stock", "Required stock" )</f>
        <v>Less Stock</v>
      </c>
      <c r="L383">
        <f t="shared" si="5"/>
        <v>1366.1899999999998</v>
      </c>
      <c r="M383" t="s">
        <v>1308</v>
      </c>
      <c r="N383">
        <v>72</v>
      </c>
      <c r="O383" t="s">
        <v>1309</v>
      </c>
      <c r="P383" t="str">
        <f>RIGHT(RIGHT(Table2[[#This Row],[last Updated]],12),4)</f>
        <v xml:space="preserve"> PDT</v>
      </c>
      <c r="Q383" t="s">
        <v>1267</v>
      </c>
    </row>
    <row r="384" spans="1:17" x14ac:dyDescent="0.25">
      <c r="A384" t="s">
        <v>170</v>
      </c>
      <c r="B384" t="str">
        <f>UPPER(Table2[[#This Row],[Brand]])</f>
        <v>RASASI</v>
      </c>
      <c r="C384" t="str">
        <f>LOWER(Table2[[#This Row],[Brand]])</f>
        <v>rasasi</v>
      </c>
      <c r="D384" t="str">
        <f>PROPER(Table2[[#This Row],[Brand]])</f>
        <v>Rasasi</v>
      </c>
      <c r="E384" t="s">
        <v>4</v>
      </c>
      <c r="F384">
        <v>16.97</v>
      </c>
      <c r="G384" t="s">
        <v>1310</v>
      </c>
      <c r="H38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$16.97</v>
      </c>
      <c r="I384" t="str">
        <f>LEFT(Table2[[#This Row],[priceWithCurrency]],3)</f>
        <v xml:space="preserve">US </v>
      </c>
      <c r="J384">
        <v>10</v>
      </c>
      <c r="K384" t="str">
        <f>IF(Table2[[#This Row],[Available]]&lt;=50, "Less Stock", "Required stock" )</f>
        <v>Less Stock</v>
      </c>
      <c r="L384">
        <f t="shared" si="5"/>
        <v>1366.1899999999998</v>
      </c>
      <c r="M384" t="s">
        <v>474</v>
      </c>
      <c r="N384">
        <v>16</v>
      </c>
      <c r="O384" t="s">
        <v>1311</v>
      </c>
      <c r="P384" t="str">
        <f>RIGHT(RIGHT(Table2[[#This Row],[last Updated]],12),4)</f>
        <v xml:space="preserve"> PDT</v>
      </c>
      <c r="Q384" t="s">
        <v>1312</v>
      </c>
    </row>
    <row r="385" spans="1:17" x14ac:dyDescent="0.25">
      <c r="A385" t="s">
        <v>20</v>
      </c>
      <c r="B385" t="str">
        <f>UPPER(Table2[[#This Row],[Brand]])</f>
        <v>GIORGIO ARMANI</v>
      </c>
      <c r="C385" t="str">
        <f>LOWER(Table2[[#This Row],[Brand]])</f>
        <v>giorgio armani</v>
      </c>
      <c r="D385" t="str">
        <f>PROPER(Table2[[#This Row],[Brand]])</f>
        <v>Giorgio Armani</v>
      </c>
      <c r="E385" t="s">
        <v>4</v>
      </c>
      <c r="F385">
        <v>78.989999999999995</v>
      </c>
      <c r="G385" t="s">
        <v>1313</v>
      </c>
      <c r="H38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$78.99</v>
      </c>
      <c r="I385" t="str">
        <f>LEFT(Table2[[#This Row],[priceWithCurrency]],3)</f>
        <v xml:space="preserve">US </v>
      </c>
      <c r="J385">
        <v>10</v>
      </c>
      <c r="K385" t="str">
        <f>IF(Table2[[#This Row],[Available]]&lt;=50, "Less Stock", "Required stock" )</f>
        <v>Less Stock</v>
      </c>
      <c r="L385">
        <f t="shared" si="5"/>
        <v>57.33</v>
      </c>
      <c r="M385" t="s">
        <v>1314</v>
      </c>
      <c r="N385">
        <v>743</v>
      </c>
      <c r="O385" t="s">
        <v>1315</v>
      </c>
      <c r="P385" t="str">
        <f>RIGHT(RIGHT(Table2[[#This Row],[last Updated]],12),4)</f>
        <v xml:space="preserve"> PDT</v>
      </c>
      <c r="Q385" t="s">
        <v>108</v>
      </c>
    </row>
    <row r="386" spans="1:17" x14ac:dyDescent="0.25">
      <c r="A386" t="s">
        <v>180</v>
      </c>
      <c r="B386" t="str">
        <f>UPPER(Table2[[#This Row],[Brand]])</f>
        <v>CALVIN KLEIN</v>
      </c>
      <c r="C386" t="str">
        <f>LOWER(Table2[[#This Row],[Brand]])</f>
        <v>calvin klein</v>
      </c>
      <c r="D386" t="str">
        <f>PROPER(Table2[[#This Row],[Brand]])</f>
        <v>Calvin Klein</v>
      </c>
      <c r="E386" t="s">
        <v>15</v>
      </c>
      <c r="F386">
        <v>19.16</v>
      </c>
      <c r="G386" t="s">
        <v>1316</v>
      </c>
      <c r="H38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$19.16</v>
      </c>
      <c r="I386" t="str">
        <f>LEFT(Table2[[#This Row],[priceWithCurrency]],3)</f>
        <v xml:space="preserve">US </v>
      </c>
      <c r="J386">
        <v>72</v>
      </c>
      <c r="K386" t="str">
        <f>IF(Table2[[#This Row],[Available]]&lt;=50, "Less Stock", "Required stock" )</f>
        <v>Required stock</v>
      </c>
      <c r="L386">
        <f t="shared" ref="L386:L449" si="6">SUMIF(E386:E466,E430,F430:F1385)</f>
        <v>1385.4500000000003</v>
      </c>
      <c r="M386" t="s">
        <v>1317</v>
      </c>
      <c r="N386">
        <v>348</v>
      </c>
      <c r="O386" t="s">
        <v>1318</v>
      </c>
      <c r="P386" t="str">
        <f>RIGHT(RIGHT(Table2[[#This Row],[last Updated]],12),4)</f>
        <v xml:space="preserve"> PDT</v>
      </c>
      <c r="Q386" t="s">
        <v>121</v>
      </c>
    </row>
    <row r="387" spans="1:17" x14ac:dyDescent="0.25">
      <c r="A387" t="s">
        <v>1319</v>
      </c>
      <c r="B387" t="str">
        <f>UPPER(Table2[[#This Row],[Brand]])</f>
        <v>MONT BLANC LEGEND</v>
      </c>
      <c r="C387" t="str">
        <f>LOWER(Table2[[#This Row],[Brand]])</f>
        <v>mont blanc legend</v>
      </c>
      <c r="D387" t="str">
        <f>PROPER(Table2[[#This Row],[Brand]])</f>
        <v>Mont Blanc Legend</v>
      </c>
      <c r="E387" t="s">
        <v>15</v>
      </c>
      <c r="F387">
        <v>33.5</v>
      </c>
      <c r="G387" t="s">
        <v>1320</v>
      </c>
      <c r="H38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$33.50</v>
      </c>
      <c r="I387" t="str">
        <f>LEFT(Table2[[#This Row],[priceWithCurrency]],3)</f>
        <v xml:space="preserve">US </v>
      </c>
      <c r="K387" t="str">
        <f>IF(Table2[[#This Row],[Available]]&lt;=50, "Less Stock", "Required stock" )</f>
        <v>Less Stock</v>
      </c>
      <c r="L387">
        <f t="shared" si="6"/>
        <v>1337.1899999999998</v>
      </c>
      <c r="M387" t="s">
        <v>1321</v>
      </c>
      <c r="N387">
        <v>1511</v>
      </c>
      <c r="O387" t="s">
        <v>1322</v>
      </c>
      <c r="P387" t="str">
        <f>RIGHT(RIGHT(Table2[[#This Row],[last Updated]],12),4)</f>
        <v xml:space="preserve"> PDT</v>
      </c>
      <c r="Q387" t="s">
        <v>30</v>
      </c>
    </row>
    <row r="388" spans="1:17" x14ac:dyDescent="0.25">
      <c r="A388" t="s">
        <v>1323</v>
      </c>
      <c r="B388" t="str">
        <f>UPPER(Table2[[#This Row],[Brand]])</f>
        <v>KING OF KINGS</v>
      </c>
      <c r="C388" t="str">
        <f>LOWER(Table2[[#This Row],[Brand]])</f>
        <v>king of kings</v>
      </c>
      <c r="D388" t="str">
        <f>PROPER(Table2[[#This Row],[Brand]])</f>
        <v>King Of Kings</v>
      </c>
      <c r="E388" t="s">
        <v>32</v>
      </c>
      <c r="F388">
        <v>79.989999999999995</v>
      </c>
      <c r="G388" t="s">
        <v>521</v>
      </c>
      <c r="H38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$79.99</v>
      </c>
      <c r="I388" t="str">
        <f>LEFT(Table2[[#This Row],[priceWithCurrency]],3)</f>
        <v xml:space="preserve">US </v>
      </c>
      <c r="J388">
        <v>9</v>
      </c>
      <c r="K388" t="str">
        <f>IF(Table2[[#This Row],[Available]]&lt;=50, "Less Stock", "Required stock" )</f>
        <v>Less Stock</v>
      </c>
      <c r="L388">
        <f t="shared" si="6"/>
        <v>153.21</v>
      </c>
      <c r="M388" t="s">
        <v>1324</v>
      </c>
      <c r="N388">
        <v>15</v>
      </c>
      <c r="O388" t="s">
        <v>1325</v>
      </c>
      <c r="P388" t="str">
        <f>RIGHT(RIGHT(Table2[[#This Row],[last Updated]],12),4)</f>
        <v xml:space="preserve"> PDT</v>
      </c>
      <c r="Q388" t="s">
        <v>973</v>
      </c>
    </row>
    <row r="389" spans="1:17" x14ac:dyDescent="0.25">
      <c r="A389" t="s">
        <v>1326</v>
      </c>
      <c r="B389" t="str">
        <f>UPPER(Table2[[#This Row],[Brand]])</f>
        <v>ULRIC DE VARENS</v>
      </c>
      <c r="C389" t="str">
        <f>LOWER(Table2[[#This Row],[Brand]])</f>
        <v>ulric de varens</v>
      </c>
      <c r="D389" t="str">
        <f>PROPER(Table2[[#This Row],[Brand]])</f>
        <v>Ulric De Varens</v>
      </c>
      <c r="E389" t="s">
        <v>15</v>
      </c>
      <c r="F389">
        <v>22</v>
      </c>
      <c r="G389" t="s">
        <v>1327</v>
      </c>
      <c r="H38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$22.00</v>
      </c>
      <c r="I389" t="str">
        <f>LEFT(Table2[[#This Row],[priceWithCurrency]],3)</f>
        <v xml:space="preserve">US </v>
      </c>
      <c r="J389">
        <v>49</v>
      </c>
      <c r="K389" t="str">
        <f>IF(Table2[[#This Row],[Available]]&lt;=50, "Less Stock", "Required stock" )</f>
        <v>Less Stock</v>
      </c>
      <c r="L389">
        <f t="shared" si="6"/>
        <v>1287.56</v>
      </c>
      <c r="M389" t="s">
        <v>1328</v>
      </c>
      <c r="N389">
        <v>1</v>
      </c>
      <c r="P389" t="str">
        <f>RIGHT(RIGHT(Table2[[#This Row],[last Updated]],12),4)</f>
        <v/>
      </c>
      <c r="Q389" t="s">
        <v>89</v>
      </c>
    </row>
    <row r="390" spans="1:17" x14ac:dyDescent="0.25">
      <c r="A390" t="s">
        <v>1329</v>
      </c>
      <c r="B390" t="str">
        <f>UPPER(Table2[[#This Row],[Brand]])</f>
        <v>EMPORIO ARMANI</v>
      </c>
      <c r="C390" t="str">
        <f>LOWER(Table2[[#This Row],[Brand]])</f>
        <v>emporio armani</v>
      </c>
      <c r="D390" t="str">
        <f>PROPER(Table2[[#This Row],[Brand]])</f>
        <v>Emporio Armani</v>
      </c>
      <c r="E390" t="s">
        <v>4</v>
      </c>
      <c r="F390">
        <v>84.99</v>
      </c>
      <c r="G390" t="s">
        <v>1330</v>
      </c>
      <c r="H39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$84.99</v>
      </c>
      <c r="I390" t="str">
        <f>LEFT(Table2[[#This Row],[priceWithCurrency]],3)</f>
        <v xml:space="preserve">US </v>
      </c>
      <c r="J390">
        <v>3</v>
      </c>
      <c r="K390" t="str">
        <f>IF(Table2[[#This Row],[Available]]&lt;=50, "Less Stock", "Required stock" )</f>
        <v>Less Stock</v>
      </c>
      <c r="L390">
        <f t="shared" si="6"/>
        <v>16.48</v>
      </c>
      <c r="M390" t="s">
        <v>1331</v>
      </c>
      <c r="N390">
        <v>7</v>
      </c>
      <c r="O390" t="s">
        <v>1332</v>
      </c>
      <c r="P390" t="str">
        <f>RIGHT(RIGHT(Table2[[#This Row],[last Updated]],12),4)</f>
        <v xml:space="preserve"> PDT</v>
      </c>
      <c r="Q390" t="s">
        <v>1333</v>
      </c>
    </row>
    <row r="391" spans="1:17" x14ac:dyDescent="0.25">
      <c r="A391" t="s">
        <v>835</v>
      </c>
      <c r="B391" t="str">
        <f>UPPER(Table2[[#This Row],[Brand]])</f>
        <v>CHANEL</v>
      </c>
      <c r="C391" t="str">
        <f>LOWER(Table2[[#This Row],[Brand]])</f>
        <v>chanel</v>
      </c>
      <c r="D391" t="str">
        <f>PROPER(Table2[[#This Row],[Brand]])</f>
        <v>Chanel</v>
      </c>
      <c r="E391" t="s">
        <v>4</v>
      </c>
      <c r="F391">
        <v>112.49</v>
      </c>
      <c r="G391" t="s">
        <v>1334</v>
      </c>
      <c r="H39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$112.49</v>
      </c>
      <c r="I391" t="str">
        <f>LEFT(Table2[[#This Row],[priceWithCurrency]],3)</f>
        <v xml:space="preserve">US </v>
      </c>
      <c r="J391">
        <v>5</v>
      </c>
      <c r="K391" t="str">
        <f>IF(Table2[[#This Row],[Available]]&lt;=50, "Less Stock", "Required stock" )</f>
        <v>Less Stock</v>
      </c>
      <c r="L391">
        <f t="shared" si="6"/>
        <v>1402.4900000000002</v>
      </c>
      <c r="M391" t="s">
        <v>930</v>
      </c>
      <c r="N391">
        <v>15</v>
      </c>
      <c r="O391" t="s">
        <v>1335</v>
      </c>
      <c r="P391" t="str">
        <f>RIGHT(RIGHT(Table2[[#This Row],[last Updated]],12),4)</f>
        <v xml:space="preserve"> PDT</v>
      </c>
      <c r="Q391" t="s">
        <v>1336</v>
      </c>
    </row>
    <row r="392" spans="1:17" x14ac:dyDescent="0.25">
      <c r="A392" t="s">
        <v>95</v>
      </c>
      <c r="B392" t="str">
        <f>UPPER(Table2[[#This Row],[Brand]])</f>
        <v>CAROLINA HERRERA</v>
      </c>
      <c r="C392" t="str">
        <f>LOWER(Table2[[#This Row],[Brand]])</f>
        <v>carolina herrera</v>
      </c>
      <c r="D392" t="str">
        <f>PROPER(Table2[[#This Row],[Brand]])</f>
        <v>Carolina Herrera</v>
      </c>
      <c r="E392" t="s">
        <v>841</v>
      </c>
      <c r="F392">
        <v>22.79</v>
      </c>
      <c r="G392" t="s">
        <v>1337</v>
      </c>
      <c r="H39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$22.79</v>
      </c>
      <c r="I392" t="str">
        <f>LEFT(Table2[[#This Row],[priceWithCurrency]],3)</f>
        <v xml:space="preserve">US </v>
      </c>
      <c r="J392">
        <v>8</v>
      </c>
      <c r="K392" t="str">
        <f>IF(Table2[[#This Row],[Available]]&lt;=50, "Less Stock", "Required stock" )</f>
        <v>Less Stock</v>
      </c>
      <c r="L392">
        <f t="shared" si="6"/>
        <v>1384.5100000000002</v>
      </c>
      <c r="M392" t="s">
        <v>1029</v>
      </c>
      <c r="N392">
        <v>7</v>
      </c>
      <c r="O392" t="s">
        <v>1338</v>
      </c>
      <c r="P392" t="str">
        <f>RIGHT(RIGHT(Table2[[#This Row],[last Updated]],12),4)</f>
        <v xml:space="preserve"> PDT</v>
      </c>
      <c r="Q392" t="s">
        <v>226</v>
      </c>
    </row>
    <row r="393" spans="1:17" x14ac:dyDescent="0.25">
      <c r="A393" t="s">
        <v>476</v>
      </c>
      <c r="B393" t="str">
        <f>UPPER(Table2[[#This Row],[Brand]])</f>
        <v>HERMÈS</v>
      </c>
      <c r="C393" t="str">
        <f>LOWER(Table2[[#This Row],[Brand]])</f>
        <v>hermès</v>
      </c>
      <c r="D393" t="str">
        <f>PROPER(Table2[[#This Row],[Brand]])</f>
        <v>Hermès</v>
      </c>
      <c r="E393" t="s">
        <v>1339</v>
      </c>
      <c r="F393">
        <v>52.99</v>
      </c>
      <c r="G393" t="s">
        <v>1340</v>
      </c>
      <c r="H39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$52.99</v>
      </c>
      <c r="I393" t="str">
        <f>LEFT(Table2[[#This Row],[priceWithCurrency]],3)</f>
        <v xml:space="preserve">US </v>
      </c>
      <c r="J393">
        <v>10</v>
      </c>
      <c r="K393" t="str">
        <f>IF(Table2[[#This Row],[Available]]&lt;=50, "Less Stock", "Required stock" )</f>
        <v>Less Stock</v>
      </c>
      <c r="L393">
        <f t="shared" si="6"/>
        <v>1394.54</v>
      </c>
      <c r="M393" t="s">
        <v>1341</v>
      </c>
      <c r="N393">
        <v>117</v>
      </c>
      <c r="O393" t="s">
        <v>1342</v>
      </c>
      <c r="P393" t="str">
        <f>RIGHT(RIGHT(Table2[[#This Row],[last Updated]],12),4)</f>
        <v xml:space="preserve"> PDT</v>
      </c>
      <c r="Q393" t="s">
        <v>89</v>
      </c>
    </row>
    <row r="394" spans="1:17" x14ac:dyDescent="0.25">
      <c r="A394" t="s">
        <v>14</v>
      </c>
      <c r="B394" t="str">
        <f>UPPER(Table2[[#This Row],[Brand]])</f>
        <v>UNBRANDED</v>
      </c>
      <c r="C394" t="str">
        <f>LOWER(Table2[[#This Row],[Brand]])</f>
        <v>unbranded</v>
      </c>
      <c r="D394" t="str">
        <f>PROPER(Table2[[#This Row],[Brand]])</f>
        <v>Unbranded</v>
      </c>
      <c r="E394" t="s">
        <v>32</v>
      </c>
      <c r="F394">
        <v>21.99</v>
      </c>
      <c r="G394" t="s">
        <v>110</v>
      </c>
      <c r="H39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$21.99</v>
      </c>
      <c r="I394" t="str">
        <f>LEFT(Table2[[#This Row],[priceWithCurrency]],3)</f>
        <v xml:space="preserve">US </v>
      </c>
      <c r="J394">
        <v>10</v>
      </c>
      <c r="K394" t="str">
        <f>IF(Table2[[#This Row],[Available]]&lt;=50, "Less Stock", "Required stock" )</f>
        <v>Less Stock</v>
      </c>
      <c r="L394">
        <f t="shared" si="6"/>
        <v>412.56000000000006</v>
      </c>
      <c r="M394" t="s">
        <v>305</v>
      </c>
      <c r="N394">
        <v>2</v>
      </c>
      <c r="O394" t="s">
        <v>1343</v>
      </c>
      <c r="P394" t="str">
        <f>RIGHT(RIGHT(Table2[[#This Row],[last Updated]],12),4)</f>
        <v xml:space="preserve"> PDT</v>
      </c>
      <c r="Q394" t="s">
        <v>582</v>
      </c>
    </row>
    <row r="395" spans="1:17" x14ac:dyDescent="0.25">
      <c r="A395" t="s">
        <v>90</v>
      </c>
      <c r="B395" t="str">
        <f>UPPER(Table2[[#This Row],[Brand]])</f>
        <v>ARMAF</v>
      </c>
      <c r="C395" t="str">
        <f>LOWER(Table2[[#This Row],[Brand]])</f>
        <v>armaf</v>
      </c>
      <c r="D395" t="str">
        <f>PROPER(Table2[[#This Row],[Brand]])</f>
        <v>Armaf</v>
      </c>
      <c r="E395" t="s">
        <v>1344</v>
      </c>
      <c r="F395">
        <v>125</v>
      </c>
      <c r="G395" t="s">
        <v>1345</v>
      </c>
      <c r="H39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$125.00</v>
      </c>
      <c r="I395" t="str">
        <f>LEFT(Table2[[#This Row],[priceWithCurrency]],3)</f>
        <v xml:space="preserve">US </v>
      </c>
      <c r="J395">
        <v>10</v>
      </c>
      <c r="K395" t="str">
        <f>IF(Table2[[#This Row],[Available]]&lt;=50, "Less Stock", "Required stock" )</f>
        <v>Less Stock</v>
      </c>
      <c r="L395">
        <f t="shared" si="6"/>
        <v>1499.4099999999999</v>
      </c>
      <c r="M395" t="s">
        <v>305</v>
      </c>
      <c r="N395">
        <v>2</v>
      </c>
      <c r="P395" t="str">
        <f>RIGHT(RIGHT(Table2[[#This Row],[last Updated]],12),4)</f>
        <v/>
      </c>
      <c r="Q395" t="s">
        <v>36</v>
      </c>
    </row>
    <row r="396" spans="1:17" x14ac:dyDescent="0.25">
      <c r="A396" t="s">
        <v>373</v>
      </c>
      <c r="B396" t="str">
        <f>UPPER(Table2[[#This Row],[Brand]])</f>
        <v>ABERCROMBIE &amp; FITCH</v>
      </c>
      <c r="C396" t="str">
        <f>LOWER(Table2[[#This Row],[Brand]])</f>
        <v>abercrombie &amp; fitch</v>
      </c>
      <c r="D396" t="str">
        <f>PROPER(Table2[[#This Row],[Brand]])</f>
        <v>Abercrombie &amp; Fitch</v>
      </c>
      <c r="E396" t="s">
        <v>374</v>
      </c>
      <c r="F396">
        <v>43.49</v>
      </c>
      <c r="G396" t="s">
        <v>1346</v>
      </c>
      <c r="H39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$43.49</v>
      </c>
      <c r="I396" t="str">
        <f>LEFT(Table2[[#This Row],[priceWithCurrency]],3)</f>
        <v xml:space="preserve">US </v>
      </c>
      <c r="J396">
        <v>2</v>
      </c>
      <c r="K396" t="str">
        <f>IF(Table2[[#This Row],[Available]]&lt;=50, "Less Stock", "Required stock" )</f>
        <v>Less Stock</v>
      </c>
      <c r="L396">
        <f t="shared" si="6"/>
        <v>1384.5100000000002</v>
      </c>
      <c r="M396" t="s">
        <v>817</v>
      </c>
      <c r="N396">
        <v>3</v>
      </c>
      <c r="O396" t="s">
        <v>1347</v>
      </c>
      <c r="P396" t="str">
        <f>RIGHT(RIGHT(Table2[[#This Row],[last Updated]],12),4)</f>
        <v xml:space="preserve"> PDT</v>
      </c>
      <c r="Q396" t="s">
        <v>1348</v>
      </c>
    </row>
    <row r="397" spans="1:17" x14ac:dyDescent="0.25">
      <c r="A397" t="s">
        <v>1079</v>
      </c>
      <c r="B397" t="str">
        <f>UPPER(Table2[[#This Row],[Brand]])</f>
        <v>BENTLEY</v>
      </c>
      <c r="C397" t="str">
        <f>LOWER(Table2[[#This Row],[Brand]])</f>
        <v>bentley</v>
      </c>
      <c r="D397" t="str">
        <f>PROPER(Table2[[#This Row],[Brand]])</f>
        <v>Bentley</v>
      </c>
      <c r="E397" t="s">
        <v>26</v>
      </c>
      <c r="F397">
        <v>23.49</v>
      </c>
      <c r="G397" t="s">
        <v>957</v>
      </c>
      <c r="H39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$23.49</v>
      </c>
      <c r="I397" t="str">
        <f>LEFT(Table2[[#This Row],[priceWithCurrency]],3)</f>
        <v xml:space="preserve">US </v>
      </c>
      <c r="J397">
        <v>3</v>
      </c>
      <c r="K397" t="str">
        <f>IF(Table2[[#This Row],[Available]]&lt;=50, "Less Stock", "Required stock" )</f>
        <v>Less Stock</v>
      </c>
      <c r="L397">
        <f t="shared" si="6"/>
        <v>313.7</v>
      </c>
      <c r="M397" t="s">
        <v>1349</v>
      </c>
      <c r="N397">
        <v>6</v>
      </c>
      <c r="O397" t="s">
        <v>1350</v>
      </c>
      <c r="P397" t="str">
        <f>RIGHT(RIGHT(Table2[[#This Row],[last Updated]],12),4)</f>
        <v xml:space="preserve"> PDT</v>
      </c>
      <c r="Q397" t="s">
        <v>30</v>
      </c>
    </row>
    <row r="398" spans="1:17" x14ac:dyDescent="0.25">
      <c r="A398" t="s">
        <v>126</v>
      </c>
      <c r="B398" t="str">
        <f>UPPER(Table2[[#This Row],[Brand]])</f>
        <v>AZZARO</v>
      </c>
      <c r="C398" t="str">
        <f>LOWER(Table2[[#This Row],[Brand]])</f>
        <v>azzaro</v>
      </c>
      <c r="D398" t="str">
        <f>PROPER(Table2[[#This Row],[Brand]])</f>
        <v>Azzaro</v>
      </c>
      <c r="E398" t="s">
        <v>127</v>
      </c>
      <c r="F398">
        <v>44</v>
      </c>
      <c r="G398" t="s">
        <v>647</v>
      </c>
      <c r="H39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$44.00</v>
      </c>
      <c r="I398" t="str">
        <f>LEFT(Table2[[#This Row],[priceWithCurrency]],3)</f>
        <v xml:space="preserve">US </v>
      </c>
      <c r="J398">
        <v>10</v>
      </c>
      <c r="K398" t="str">
        <f>IF(Table2[[#This Row],[Available]]&lt;=50, "Less Stock", "Required stock" )</f>
        <v>Less Stock</v>
      </c>
      <c r="L398">
        <f t="shared" si="6"/>
        <v>288.75</v>
      </c>
      <c r="M398" t="s">
        <v>1351</v>
      </c>
      <c r="N398">
        <v>83</v>
      </c>
      <c r="O398" t="s">
        <v>1352</v>
      </c>
      <c r="P398" t="str">
        <f>RIGHT(RIGHT(Table2[[#This Row],[last Updated]],12),4)</f>
        <v xml:space="preserve"> PDT</v>
      </c>
      <c r="Q398" t="s">
        <v>131</v>
      </c>
    </row>
    <row r="399" spans="1:17" x14ac:dyDescent="0.25">
      <c r="A399" t="s">
        <v>1353</v>
      </c>
      <c r="B399" t="str">
        <f>UPPER(Table2[[#This Row],[Brand]])</f>
        <v>MAISON FRANCIS KURKDJIAN</v>
      </c>
      <c r="C399" t="str">
        <f>LOWER(Table2[[#This Row],[Brand]])</f>
        <v>maison francis kurkdjian</v>
      </c>
      <c r="D399" t="str">
        <f>PROPER(Table2[[#This Row],[Brand]])</f>
        <v>Maison Francis Kurkdjian</v>
      </c>
      <c r="E399" t="s">
        <v>15</v>
      </c>
      <c r="F399">
        <v>140</v>
      </c>
      <c r="G399" t="s">
        <v>1354</v>
      </c>
      <c r="H39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$140.00</v>
      </c>
      <c r="I399" t="str">
        <f>LEFT(Table2[[#This Row],[priceWithCurrency]],3)</f>
        <v xml:space="preserve">US </v>
      </c>
      <c r="J399">
        <v>24</v>
      </c>
      <c r="K399" t="str">
        <f>IF(Table2[[#This Row],[Available]]&lt;=50, "Less Stock", "Required stock" )</f>
        <v>Less Stock</v>
      </c>
      <c r="L399">
        <f t="shared" si="6"/>
        <v>1619.6099999999997</v>
      </c>
      <c r="M399" t="s">
        <v>1355</v>
      </c>
      <c r="N399">
        <v>6</v>
      </c>
      <c r="O399" t="s">
        <v>1356</v>
      </c>
      <c r="P399" t="str">
        <f>RIGHT(RIGHT(Table2[[#This Row],[last Updated]],12),4)</f>
        <v xml:space="preserve"> PDT</v>
      </c>
      <c r="Q399" t="s">
        <v>70</v>
      </c>
    </row>
    <row r="400" spans="1:17" x14ac:dyDescent="0.25">
      <c r="A400" t="s">
        <v>79</v>
      </c>
      <c r="B400" t="str">
        <f>UPPER(Table2[[#This Row],[Brand]])</f>
        <v>PACO RABANNE</v>
      </c>
      <c r="C400" t="str">
        <f>LOWER(Table2[[#This Row],[Brand]])</f>
        <v>paco rabanne</v>
      </c>
      <c r="D400" t="str">
        <f>PROPER(Table2[[#This Row],[Brand]])</f>
        <v>Paco Rabanne</v>
      </c>
      <c r="E400" t="s">
        <v>4</v>
      </c>
      <c r="F400">
        <v>74.989999999999995</v>
      </c>
      <c r="G400" t="s">
        <v>1357</v>
      </c>
      <c r="H40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$74.99</v>
      </c>
      <c r="I400" t="str">
        <f>LEFT(Table2[[#This Row],[priceWithCurrency]],3)</f>
        <v xml:space="preserve">US </v>
      </c>
      <c r="J400">
        <v>2</v>
      </c>
      <c r="K400" t="str">
        <f>IF(Table2[[#This Row],[Available]]&lt;=50, "Less Stock", "Required stock" )</f>
        <v>Less Stock</v>
      </c>
      <c r="L400">
        <f t="shared" si="6"/>
        <v>1612.7599999999998</v>
      </c>
      <c r="M400" t="s">
        <v>1358</v>
      </c>
      <c r="N400">
        <v>60</v>
      </c>
      <c r="O400" t="s">
        <v>1359</v>
      </c>
      <c r="P400" t="str">
        <f>RIGHT(RIGHT(Table2[[#This Row],[last Updated]],12),4)</f>
        <v xml:space="preserve"> PDT</v>
      </c>
      <c r="Q400" t="s">
        <v>1150</v>
      </c>
    </row>
    <row r="401" spans="1:17" x14ac:dyDescent="0.25">
      <c r="A401" t="s">
        <v>25</v>
      </c>
      <c r="B401" t="str">
        <f>UPPER(Table2[[#This Row],[Brand]])</f>
        <v>LATTAFA</v>
      </c>
      <c r="C401" t="str">
        <f>LOWER(Table2[[#This Row],[Brand]])</f>
        <v>lattafa</v>
      </c>
      <c r="D401" t="str">
        <f>PROPER(Table2[[#This Row],[Brand]])</f>
        <v>Lattafa</v>
      </c>
      <c r="E401" t="s">
        <v>4</v>
      </c>
      <c r="F401">
        <v>26.99</v>
      </c>
      <c r="G401" t="s">
        <v>1360</v>
      </c>
      <c r="H40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$26.99</v>
      </c>
      <c r="I401" t="str">
        <f>LEFT(Table2[[#This Row],[priceWithCurrency]],3)</f>
        <v xml:space="preserve">US </v>
      </c>
      <c r="J401">
        <v>9</v>
      </c>
      <c r="K401" t="str">
        <f>IF(Table2[[#This Row],[Available]]&lt;=50, "Less Stock", "Required stock" )</f>
        <v>Less Stock</v>
      </c>
      <c r="L401">
        <f t="shared" si="6"/>
        <v>1353.9800000000002</v>
      </c>
      <c r="M401" t="s">
        <v>1361</v>
      </c>
      <c r="N401">
        <v>75</v>
      </c>
      <c r="O401" t="s">
        <v>1362</v>
      </c>
      <c r="P401" t="str">
        <f>RIGHT(RIGHT(Table2[[#This Row],[last Updated]],12),4)</f>
        <v xml:space="preserve"> PDT</v>
      </c>
      <c r="Q401" t="s">
        <v>884</v>
      </c>
    </row>
    <row r="402" spans="1:17" x14ac:dyDescent="0.25">
      <c r="A402" t="s">
        <v>56</v>
      </c>
      <c r="B402" t="str">
        <f>UPPER(Table2[[#This Row],[Brand]])</f>
        <v>RALPH LAUREN</v>
      </c>
      <c r="C402" t="str">
        <f>LOWER(Table2[[#This Row],[Brand]])</f>
        <v>ralph lauren</v>
      </c>
      <c r="D402" t="str">
        <f>PROPER(Table2[[#This Row],[Brand]])</f>
        <v>Ralph Lauren</v>
      </c>
      <c r="E402" t="s">
        <v>4</v>
      </c>
      <c r="F402">
        <v>52.97</v>
      </c>
      <c r="G402" t="s">
        <v>1363</v>
      </c>
      <c r="H40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$52.97</v>
      </c>
      <c r="I402" t="str">
        <f>LEFT(Table2[[#This Row],[priceWithCurrency]],3)</f>
        <v xml:space="preserve">US </v>
      </c>
      <c r="K402" t="str">
        <f>IF(Table2[[#This Row],[Available]]&lt;=50, "Less Stock", "Required stock" )</f>
        <v>Less Stock</v>
      </c>
      <c r="L402">
        <f t="shared" si="6"/>
        <v>1674.7399999999998</v>
      </c>
      <c r="M402" t="s">
        <v>1364</v>
      </c>
      <c r="N402">
        <v>1683</v>
      </c>
      <c r="O402" t="s">
        <v>1365</v>
      </c>
      <c r="P402" t="str">
        <f>RIGHT(RIGHT(Table2[[#This Row],[last Updated]],12),4)</f>
        <v xml:space="preserve"> PDT</v>
      </c>
      <c r="Q402" t="s">
        <v>108</v>
      </c>
    </row>
    <row r="403" spans="1:17" x14ac:dyDescent="0.25">
      <c r="A403" t="s">
        <v>90</v>
      </c>
      <c r="B403" t="str">
        <f>UPPER(Table2[[#This Row],[Brand]])</f>
        <v>ARMAF</v>
      </c>
      <c r="C403" t="str">
        <f>LOWER(Table2[[#This Row],[Brand]])</f>
        <v>armaf</v>
      </c>
      <c r="D403" t="str">
        <f>PROPER(Table2[[#This Row],[Brand]])</f>
        <v>Armaf</v>
      </c>
      <c r="E403" t="s">
        <v>4</v>
      </c>
      <c r="F403">
        <v>22.61</v>
      </c>
      <c r="G403" t="s">
        <v>1366</v>
      </c>
      <c r="H40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$22.61</v>
      </c>
      <c r="I403" t="str">
        <f>LEFT(Table2[[#This Row],[priceWithCurrency]],3)</f>
        <v xml:space="preserve">US </v>
      </c>
      <c r="J403">
        <v>52</v>
      </c>
      <c r="K403" t="str">
        <f>IF(Table2[[#This Row],[Available]]&lt;=50, "Less Stock", "Required stock" )</f>
        <v>Required stock</v>
      </c>
      <c r="L403">
        <f t="shared" si="6"/>
        <v>83.240000000000009</v>
      </c>
      <c r="M403" t="s">
        <v>1367</v>
      </c>
      <c r="N403">
        <v>619</v>
      </c>
      <c r="O403" t="s">
        <v>1368</v>
      </c>
      <c r="P403" t="str">
        <f>RIGHT(RIGHT(Table2[[#This Row],[last Updated]],12),4)</f>
        <v xml:space="preserve"> PDT</v>
      </c>
      <c r="Q403" t="s">
        <v>121</v>
      </c>
    </row>
    <row r="404" spans="1:17" x14ac:dyDescent="0.25">
      <c r="A404" t="s">
        <v>20</v>
      </c>
      <c r="B404" t="str">
        <f>UPPER(Table2[[#This Row],[Brand]])</f>
        <v>GIORGIO ARMANI</v>
      </c>
      <c r="C404" t="str">
        <f>LOWER(Table2[[#This Row],[Brand]])</f>
        <v>giorgio armani</v>
      </c>
      <c r="D404" t="str">
        <f>PROPER(Table2[[#This Row],[Brand]])</f>
        <v>Giorgio Armani</v>
      </c>
      <c r="E404" t="s">
        <v>4</v>
      </c>
      <c r="F404">
        <v>72.989999999999995</v>
      </c>
      <c r="G404" t="s">
        <v>1369</v>
      </c>
      <c r="H40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$72.99</v>
      </c>
      <c r="I404" t="str">
        <f>LEFT(Table2[[#This Row],[priceWithCurrency]],3)</f>
        <v xml:space="preserve">US </v>
      </c>
      <c r="J404">
        <v>6</v>
      </c>
      <c r="K404" t="str">
        <f>IF(Table2[[#This Row],[Available]]&lt;=50, "Less Stock", "Required stock" )</f>
        <v>Less Stock</v>
      </c>
      <c r="L404">
        <f t="shared" si="6"/>
        <v>1723.6899999999998</v>
      </c>
      <c r="M404" t="s">
        <v>1370</v>
      </c>
      <c r="N404">
        <v>235</v>
      </c>
      <c r="O404" t="s">
        <v>1371</v>
      </c>
      <c r="P404" t="str">
        <f>RIGHT(RIGHT(Table2[[#This Row],[last Updated]],12),4)</f>
        <v xml:space="preserve"> PDT</v>
      </c>
      <c r="Q404" t="s">
        <v>698</v>
      </c>
    </row>
    <row r="405" spans="1:17" x14ac:dyDescent="0.25">
      <c r="A405" t="s">
        <v>1372</v>
      </c>
      <c r="B405" t="str">
        <f>UPPER(Table2[[#This Row],[Brand]])</f>
        <v>FRAGRANCE WORLD</v>
      </c>
      <c r="C405" t="str">
        <f>LOWER(Table2[[#This Row],[Brand]])</f>
        <v>fragrance world</v>
      </c>
      <c r="D405" t="str">
        <f>PROPER(Table2[[#This Row],[Brand]])</f>
        <v>Fragrance World</v>
      </c>
      <c r="E405" t="s">
        <v>26</v>
      </c>
      <c r="F405">
        <v>27.99</v>
      </c>
      <c r="G405" t="s">
        <v>1373</v>
      </c>
      <c r="H40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$27.99</v>
      </c>
      <c r="I405" t="str">
        <f>LEFT(Table2[[#This Row],[priceWithCurrency]],3)</f>
        <v xml:space="preserve">US </v>
      </c>
      <c r="J405">
        <v>3</v>
      </c>
      <c r="K405" t="str">
        <f>IF(Table2[[#This Row],[Available]]&lt;=50, "Less Stock", "Required stock" )</f>
        <v>Less Stock</v>
      </c>
      <c r="L405">
        <f t="shared" si="6"/>
        <v>288.75</v>
      </c>
      <c r="M405" t="s">
        <v>1374</v>
      </c>
      <c r="N405">
        <v>1</v>
      </c>
      <c r="O405" t="s">
        <v>1375</v>
      </c>
      <c r="P405" t="str">
        <f>RIGHT(RIGHT(Table2[[#This Row],[last Updated]],12),4)</f>
        <v xml:space="preserve"> PDT</v>
      </c>
      <c r="Q405" t="s">
        <v>30</v>
      </c>
    </row>
    <row r="406" spans="1:17" x14ac:dyDescent="0.25">
      <c r="A406" t="s">
        <v>79</v>
      </c>
      <c r="B406" t="str">
        <f>UPPER(Table2[[#This Row],[Brand]])</f>
        <v>PACO RABANNE</v>
      </c>
      <c r="C406" t="str">
        <f>LOWER(Table2[[#This Row],[Brand]])</f>
        <v>paco rabanne</v>
      </c>
      <c r="D406" t="str">
        <f>PROPER(Table2[[#This Row],[Brand]])</f>
        <v>Paco Rabanne</v>
      </c>
      <c r="E406" t="s">
        <v>4</v>
      </c>
      <c r="F406">
        <v>17.98</v>
      </c>
      <c r="G406" t="s">
        <v>1227</v>
      </c>
      <c r="H40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$17.98</v>
      </c>
      <c r="I406" t="str">
        <f>LEFT(Table2[[#This Row],[priceWithCurrency]],3)</f>
        <v xml:space="preserve">US </v>
      </c>
      <c r="J406">
        <v>10</v>
      </c>
      <c r="K406" t="str">
        <f>IF(Table2[[#This Row],[Available]]&lt;=50, "Less Stock", "Required stock" )</f>
        <v>Less Stock</v>
      </c>
      <c r="L406">
        <f t="shared" si="6"/>
        <v>1272.47</v>
      </c>
      <c r="M406" t="s">
        <v>1376</v>
      </c>
      <c r="N406">
        <v>50</v>
      </c>
      <c r="O406" t="s">
        <v>1377</v>
      </c>
      <c r="P406" t="str">
        <f>RIGHT(RIGHT(Table2[[#This Row],[last Updated]],12),4)</f>
        <v xml:space="preserve"> PDT</v>
      </c>
      <c r="Q406" t="s">
        <v>1230</v>
      </c>
    </row>
    <row r="407" spans="1:17" x14ac:dyDescent="0.25">
      <c r="A407" t="s">
        <v>543</v>
      </c>
      <c r="B407" t="str">
        <f>UPPER(Table2[[#This Row],[Brand]])</f>
        <v>JEAN PAUL GAULTIER</v>
      </c>
      <c r="C407" t="str">
        <f>LOWER(Table2[[#This Row],[Brand]])</f>
        <v>jean paul gaultier</v>
      </c>
      <c r="D407" t="str">
        <f>PROPER(Table2[[#This Row],[Brand]])</f>
        <v>Jean Paul Gaultier</v>
      </c>
      <c r="E407" t="s">
        <v>4</v>
      </c>
      <c r="F407">
        <v>169</v>
      </c>
      <c r="G407" t="s">
        <v>1378</v>
      </c>
      <c r="H40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$169.00</v>
      </c>
      <c r="I407" t="str">
        <f>LEFT(Table2[[#This Row],[priceWithCurrency]],3)</f>
        <v xml:space="preserve">US </v>
      </c>
      <c r="K407" t="str">
        <f>IF(Table2[[#This Row],[Available]]&lt;=50, "Less Stock", "Required stock" )</f>
        <v>Less Stock</v>
      </c>
      <c r="L407">
        <f t="shared" si="6"/>
        <v>399.56000000000006</v>
      </c>
      <c r="P407" t="str">
        <f>RIGHT(RIGHT(Table2[[#This Row],[last Updated]],12),4)</f>
        <v/>
      </c>
      <c r="Q407" t="s">
        <v>1379</v>
      </c>
    </row>
    <row r="408" spans="1:17" x14ac:dyDescent="0.25">
      <c r="A408" t="s">
        <v>666</v>
      </c>
      <c r="B408" t="str">
        <f>UPPER(Table2[[#This Row],[Brand]])</f>
        <v>BATH &amp; BODY WORKS</v>
      </c>
      <c r="C408" t="str">
        <f>LOWER(Table2[[#This Row],[Brand]])</f>
        <v>bath &amp; body works</v>
      </c>
      <c r="D408" t="str">
        <f>PROPER(Table2[[#This Row],[Brand]])</f>
        <v>Bath &amp; Body Works</v>
      </c>
      <c r="E408" t="s">
        <v>374</v>
      </c>
      <c r="F408">
        <v>27.94</v>
      </c>
      <c r="G408" t="s">
        <v>1380</v>
      </c>
      <c r="H40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$27.94</v>
      </c>
      <c r="I408" t="str">
        <f>LEFT(Table2[[#This Row],[priceWithCurrency]],3)</f>
        <v xml:space="preserve">US </v>
      </c>
      <c r="K408" t="str">
        <f>IF(Table2[[#This Row],[Available]]&lt;=50, "Less Stock", "Required stock" )</f>
        <v>Less Stock</v>
      </c>
      <c r="L408">
        <f t="shared" si="6"/>
        <v>193.96999999999997</v>
      </c>
      <c r="M408" t="s">
        <v>1381</v>
      </c>
      <c r="N408">
        <v>717</v>
      </c>
      <c r="O408" t="s">
        <v>1382</v>
      </c>
      <c r="P408" t="str">
        <f>RIGHT(RIGHT(Table2[[#This Row],[last Updated]],12),4)</f>
        <v xml:space="preserve"> PDT</v>
      </c>
      <c r="Q408" t="s">
        <v>1383</v>
      </c>
    </row>
    <row r="409" spans="1:17" x14ac:dyDescent="0.25">
      <c r="A409" t="s">
        <v>543</v>
      </c>
      <c r="B409" t="str">
        <f>UPPER(Table2[[#This Row],[Brand]])</f>
        <v>JEAN PAUL GAULTIER</v>
      </c>
      <c r="C409" t="str">
        <f>LOWER(Table2[[#This Row],[Brand]])</f>
        <v>jean paul gaultier</v>
      </c>
      <c r="D409" t="str">
        <f>PROPER(Table2[[#This Row],[Brand]])</f>
        <v>Jean Paul Gaultier</v>
      </c>
      <c r="E409" t="s">
        <v>4</v>
      </c>
      <c r="F409">
        <v>12.95</v>
      </c>
      <c r="G409" t="s">
        <v>1384</v>
      </c>
      <c r="H40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$12.95</v>
      </c>
      <c r="I409" t="str">
        <f>LEFT(Table2[[#This Row],[priceWithCurrency]],3)</f>
        <v xml:space="preserve">US </v>
      </c>
      <c r="J409">
        <v>10</v>
      </c>
      <c r="K409" t="str">
        <f>IF(Table2[[#This Row],[Available]]&lt;=50, "Less Stock", "Required stock" )</f>
        <v>Less Stock</v>
      </c>
      <c r="L409">
        <f t="shared" si="6"/>
        <v>1144.4799999999998</v>
      </c>
      <c r="M409" t="s">
        <v>330</v>
      </c>
      <c r="N409">
        <v>594</v>
      </c>
      <c r="O409" t="s">
        <v>1385</v>
      </c>
      <c r="P409" t="str">
        <f>RIGHT(RIGHT(Table2[[#This Row],[last Updated]],12),4)</f>
        <v xml:space="preserve"> PDT</v>
      </c>
      <c r="Q409" t="s">
        <v>793</v>
      </c>
    </row>
    <row r="410" spans="1:17" x14ac:dyDescent="0.25">
      <c r="A410" t="s">
        <v>25</v>
      </c>
      <c r="B410" t="str">
        <f>UPPER(Table2[[#This Row],[Brand]])</f>
        <v>LATTAFA</v>
      </c>
      <c r="C410" t="str">
        <f>LOWER(Table2[[#This Row],[Brand]])</f>
        <v>lattafa</v>
      </c>
      <c r="D410" t="str">
        <f>PROPER(Table2[[#This Row],[Brand]])</f>
        <v>Lattafa</v>
      </c>
      <c r="E410" t="s">
        <v>4</v>
      </c>
      <c r="F410">
        <v>23.99</v>
      </c>
      <c r="G410" t="s">
        <v>1386</v>
      </c>
      <c r="H41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$23.99</v>
      </c>
      <c r="I410" t="str">
        <f>LEFT(Table2[[#This Row],[priceWithCurrency]],3)</f>
        <v xml:space="preserve">US </v>
      </c>
      <c r="J410">
        <v>10</v>
      </c>
      <c r="K410" t="str">
        <f>IF(Table2[[#This Row],[Available]]&lt;=50, "Less Stock", "Required stock" )</f>
        <v>Less Stock</v>
      </c>
      <c r="L410">
        <f t="shared" si="6"/>
        <v>1818.82</v>
      </c>
      <c r="M410" t="s">
        <v>1387</v>
      </c>
      <c r="N410">
        <v>10</v>
      </c>
      <c r="O410" t="s">
        <v>1388</v>
      </c>
      <c r="P410" t="str">
        <f>RIGHT(RIGHT(Table2[[#This Row],[last Updated]],12),4)</f>
        <v xml:space="preserve"> PDT</v>
      </c>
      <c r="Q410" t="s">
        <v>480</v>
      </c>
    </row>
    <row r="411" spans="1:17" x14ac:dyDescent="0.25">
      <c r="A411" t="s">
        <v>270</v>
      </c>
      <c r="B411" t="str">
        <f>UPPER(Table2[[#This Row],[Brand]])</f>
        <v>YVES SAINT LAURENT</v>
      </c>
      <c r="C411" t="str">
        <f>LOWER(Table2[[#This Row],[Brand]])</f>
        <v>yves saint laurent</v>
      </c>
      <c r="D411" t="str">
        <f>PROPER(Table2[[#This Row],[Brand]])</f>
        <v>Yves Saint Laurent</v>
      </c>
      <c r="E411" t="s">
        <v>4</v>
      </c>
      <c r="F411">
        <v>24.99</v>
      </c>
      <c r="G411" t="s">
        <v>1389</v>
      </c>
      <c r="H41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$24.99</v>
      </c>
      <c r="I411" t="str">
        <f>LEFT(Table2[[#This Row],[priceWithCurrency]],3)</f>
        <v xml:space="preserve">US </v>
      </c>
      <c r="J411">
        <v>12</v>
      </c>
      <c r="K411" t="str">
        <f>IF(Table2[[#This Row],[Available]]&lt;=50, "Less Stock", "Required stock" )</f>
        <v>Less Stock</v>
      </c>
      <c r="L411">
        <f t="shared" si="6"/>
        <v>1078.54</v>
      </c>
      <c r="M411" t="s">
        <v>1390</v>
      </c>
      <c r="N411">
        <v>6</v>
      </c>
      <c r="O411" t="s">
        <v>1391</v>
      </c>
      <c r="P411" t="str">
        <f>RIGHT(RIGHT(Table2[[#This Row],[last Updated]],12),4)</f>
        <v xml:space="preserve"> PDT</v>
      </c>
      <c r="Q411" t="s">
        <v>1392</v>
      </c>
    </row>
    <row r="412" spans="1:17" x14ac:dyDescent="0.25">
      <c r="A412" t="s">
        <v>574</v>
      </c>
      <c r="B412" t="str">
        <f>UPPER(Table2[[#This Row],[Brand]])</f>
        <v>BVLGARI</v>
      </c>
      <c r="C412" t="str">
        <f>LOWER(Table2[[#This Row],[Brand]])</f>
        <v>bvlgari</v>
      </c>
      <c r="D412" t="str">
        <f>PROPER(Table2[[#This Row],[Brand]])</f>
        <v>Bvlgari</v>
      </c>
      <c r="E412" t="s">
        <v>15</v>
      </c>
      <c r="F412">
        <v>49.99</v>
      </c>
      <c r="G412" t="s">
        <v>52</v>
      </c>
      <c r="H41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$49.99</v>
      </c>
      <c r="I412" t="str">
        <f>LEFT(Table2[[#This Row],[priceWithCurrency]],3)</f>
        <v xml:space="preserve">US </v>
      </c>
      <c r="J412">
        <v>2</v>
      </c>
      <c r="K412" t="str">
        <f>IF(Table2[[#This Row],[Available]]&lt;=50, "Less Stock", "Required stock" )</f>
        <v>Less Stock</v>
      </c>
      <c r="L412">
        <f t="shared" si="6"/>
        <v>1016.46</v>
      </c>
      <c r="M412" t="s">
        <v>817</v>
      </c>
      <c r="N412">
        <v>3</v>
      </c>
      <c r="O412" t="s">
        <v>1393</v>
      </c>
      <c r="P412" t="str">
        <f>RIGHT(RIGHT(Table2[[#This Row],[last Updated]],12),4)</f>
        <v xml:space="preserve"> PDT</v>
      </c>
      <c r="Q412" t="s">
        <v>1394</v>
      </c>
    </row>
    <row r="413" spans="1:17" x14ac:dyDescent="0.25">
      <c r="A413" t="s">
        <v>126</v>
      </c>
      <c r="B413" t="str">
        <f>UPPER(Table2[[#This Row],[Brand]])</f>
        <v>AZZARO</v>
      </c>
      <c r="C413" t="str">
        <f>LOWER(Table2[[#This Row],[Brand]])</f>
        <v>azzaro</v>
      </c>
      <c r="D413" t="str">
        <f>PROPER(Table2[[#This Row],[Brand]])</f>
        <v>Azzaro</v>
      </c>
      <c r="E413" t="s">
        <v>15</v>
      </c>
      <c r="F413">
        <v>26</v>
      </c>
      <c r="G413" t="s">
        <v>1395</v>
      </c>
      <c r="H41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$26.00</v>
      </c>
      <c r="I413" t="str">
        <f>LEFT(Table2[[#This Row],[priceWithCurrency]],3)</f>
        <v xml:space="preserve">US </v>
      </c>
      <c r="J413">
        <v>92</v>
      </c>
      <c r="K413" t="str">
        <f>IF(Table2[[#This Row],[Available]]&lt;=50, "Less Stock", "Required stock" )</f>
        <v>Required stock</v>
      </c>
      <c r="L413">
        <f t="shared" si="6"/>
        <v>1016.46</v>
      </c>
      <c r="M413" t="s">
        <v>1396</v>
      </c>
      <c r="N413">
        <v>1337</v>
      </c>
      <c r="O413" t="s">
        <v>1397</v>
      </c>
      <c r="P413" t="str">
        <f>RIGHT(RIGHT(Table2[[#This Row],[last Updated]],12),4)</f>
        <v xml:space="preserve"> PDT</v>
      </c>
      <c r="Q413" t="s">
        <v>121</v>
      </c>
    </row>
    <row r="414" spans="1:17" x14ac:dyDescent="0.25">
      <c r="A414" t="s">
        <v>20</v>
      </c>
      <c r="B414" t="str">
        <f>UPPER(Table2[[#This Row],[Brand]])</f>
        <v>GIORGIO ARMANI</v>
      </c>
      <c r="C414" t="str">
        <f>LOWER(Table2[[#This Row],[Brand]])</f>
        <v>giorgio armani</v>
      </c>
      <c r="D414" t="str">
        <f>PROPER(Table2[[#This Row],[Brand]])</f>
        <v>Giorgio Armani</v>
      </c>
      <c r="E414" t="s">
        <v>32</v>
      </c>
      <c r="F414">
        <v>90.44</v>
      </c>
      <c r="G414" t="s">
        <v>1398</v>
      </c>
      <c r="H41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$90.44</v>
      </c>
      <c r="I414" t="str">
        <f>LEFT(Table2[[#This Row],[priceWithCurrency]],3)</f>
        <v xml:space="preserve">US </v>
      </c>
      <c r="K414" t="str">
        <f>IF(Table2[[#This Row],[Available]]&lt;=50, "Less Stock", "Required stock" )</f>
        <v>Less Stock</v>
      </c>
      <c r="L414">
        <f t="shared" si="6"/>
        <v>1837.78</v>
      </c>
      <c r="M414" t="s">
        <v>1399</v>
      </c>
      <c r="N414">
        <v>1</v>
      </c>
      <c r="O414" t="s">
        <v>1400</v>
      </c>
      <c r="P414" t="str">
        <f>RIGHT(RIGHT(Table2[[#This Row],[last Updated]],12),4)</f>
        <v xml:space="preserve"> PDT</v>
      </c>
      <c r="Q414" t="s">
        <v>480</v>
      </c>
    </row>
    <row r="415" spans="1:17" x14ac:dyDescent="0.25">
      <c r="A415" t="s">
        <v>1401</v>
      </c>
      <c r="B415" t="str">
        <f>UPPER(Table2[[#This Row],[Brand]])</f>
        <v>ALLSAINTS</v>
      </c>
      <c r="C415" t="str">
        <f>LOWER(Table2[[#This Row],[Brand]])</f>
        <v>allsaints</v>
      </c>
      <c r="D415" t="str">
        <f>PROPER(Table2[[#This Row],[Brand]])</f>
        <v>Allsaints</v>
      </c>
      <c r="E415" t="s">
        <v>4</v>
      </c>
      <c r="F415">
        <v>47.99</v>
      </c>
      <c r="G415" t="s">
        <v>878</v>
      </c>
      <c r="H41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$47.99</v>
      </c>
      <c r="I415" t="str">
        <f>LEFT(Table2[[#This Row],[priceWithCurrency]],3)</f>
        <v xml:space="preserve">US </v>
      </c>
      <c r="J415">
        <v>10</v>
      </c>
      <c r="K415" t="str">
        <f>IF(Table2[[#This Row],[Available]]&lt;=50, "Less Stock", "Required stock" )</f>
        <v>Less Stock</v>
      </c>
      <c r="L415">
        <f t="shared" si="6"/>
        <v>1043.4100000000001</v>
      </c>
      <c r="M415" t="s">
        <v>1402</v>
      </c>
      <c r="N415">
        <v>13</v>
      </c>
      <c r="O415" t="s">
        <v>1403</v>
      </c>
      <c r="P415" t="str">
        <f>RIGHT(RIGHT(Table2[[#This Row],[last Updated]],12),4)</f>
        <v xml:space="preserve"> PDT</v>
      </c>
      <c r="Q415" t="s">
        <v>1404</v>
      </c>
    </row>
    <row r="416" spans="1:17" x14ac:dyDescent="0.25">
      <c r="A416" t="s">
        <v>895</v>
      </c>
      <c r="B416" t="str">
        <f>UPPER(Table2[[#This Row],[Brand]])</f>
        <v>AS SHOWN</v>
      </c>
      <c r="C416" t="str">
        <f>LOWER(Table2[[#This Row],[Brand]])</f>
        <v>as shown</v>
      </c>
      <c r="D416" t="str">
        <f>PROPER(Table2[[#This Row],[Brand]])</f>
        <v>As Shown</v>
      </c>
      <c r="E416" t="s">
        <v>15</v>
      </c>
      <c r="F416">
        <v>40.99</v>
      </c>
      <c r="G416" t="s">
        <v>473</v>
      </c>
      <c r="H41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$40.99</v>
      </c>
      <c r="I416" t="str">
        <f>LEFT(Table2[[#This Row],[priceWithCurrency]],3)</f>
        <v xml:space="preserve">US </v>
      </c>
      <c r="J416">
        <v>10</v>
      </c>
      <c r="K416" t="str">
        <f>IF(Table2[[#This Row],[Available]]&lt;=50, "Less Stock", "Required stock" )</f>
        <v>Less Stock</v>
      </c>
      <c r="L416">
        <f t="shared" si="6"/>
        <v>379.21000000000004</v>
      </c>
      <c r="M416" t="s">
        <v>1405</v>
      </c>
      <c r="N416">
        <v>17</v>
      </c>
      <c r="O416" t="s">
        <v>1406</v>
      </c>
      <c r="P416" t="str">
        <f>RIGHT(RIGHT(Table2[[#This Row],[last Updated]],12),4)</f>
        <v xml:space="preserve"> PDT</v>
      </c>
      <c r="Q416" t="s">
        <v>1407</v>
      </c>
    </row>
    <row r="417" spans="1:17" x14ac:dyDescent="0.25">
      <c r="A417" t="s">
        <v>61</v>
      </c>
      <c r="B417" t="str">
        <f>UPPER(Table2[[#This Row],[Brand]])</f>
        <v>DOLCE&amp;GABBANA</v>
      </c>
      <c r="C417" t="str">
        <f>LOWER(Table2[[#This Row],[Brand]])</f>
        <v>dolce&amp;gabbana</v>
      </c>
      <c r="D417" t="str">
        <f>PROPER(Table2[[#This Row],[Brand]])</f>
        <v>Dolce&amp;Gabbana</v>
      </c>
      <c r="E417" t="s">
        <v>15</v>
      </c>
      <c r="F417">
        <v>33.99</v>
      </c>
      <c r="G417" t="s">
        <v>1185</v>
      </c>
      <c r="H41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$33.99</v>
      </c>
      <c r="I417" t="str">
        <f>LEFT(Table2[[#This Row],[priceWithCurrency]],3)</f>
        <v xml:space="preserve">US </v>
      </c>
      <c r="J417">
        <v>10</v>
      </c>
      <c r="K417" t="str">
        <f>IF(Table2[[#This Row],[Available]]&lt;=50, "Less Stock", "Required stock" )</f>
        <v>Less Stock</v>
      </c>
      <c r="L417">
        <f t="shared" si="6"/>
        <v>1862.6000000000001</v>
      </c>
      <c r="M417" t="s">
        <v>1408</v>
      </c>
      <c r="N417">
        <v>573</v>
      </c>
      <c r="O417" t="s">
        <v>1409</v>
      </c>
      <c r="P417" t="str">
        <f>RIGHT(RIGHT(Table2[[#This Row],[last Updated]],12),4)</f>
        <v xml:space="preserve"> PDT</v>
      </c>
      <c r="Q417" t="s">
        <v>406</v>
      </c>
    </row>
    <row r="418" spans="1:17" x14ac:dyDescent="0.25">
      <c r="A418" t="s">
        <v>66</v>
      </c>
      <c r="B418" t="str">
        <f>UPPER(Table2[[#This Row],[Brand]])</f>
        <v>SECERTMU</v>
      </c>
      <c r="C418" t="str">
        <f>LOWER(Table2[[#This Row],[Brand]])</f>
        <v>secertmu</v>
      </c>
      <c r="D418" t="str">
        <f>PROPER(Table2[[#This Row],[Brand]])</f>
        <v>Secertmu</v>
      </c>
      <c r="E418" t="s">
        <v>32</v>
      </c>
      <c r="F418">
        <v>10.99</v>
      </c>
      <c r="G418" t="s">
        <v>1410</v>
      </c>
      <c r="H41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$10.99</v>
      </c>
      <c r="I418" t="str">
        <f>LEFT(Table2[[#This Row],[priceWithCurrency]],3)</f>
        <v xml:space="preserve">US </v>
      </c>
      <c r="J418">
        <v>10</v>
      </c>
      <c r="K418" t="str">
        <f>IF(Table2[[#This Row],[Available]]&lt;=50, "Less Stock", "Required stock" )</f>
        <v>Less Stock</v>
      </c>
      <c r="L418">
        <f t="shared" si="6"/>
        <v>97.34</v>
      </c>
      <c r="M418" t="s">
        <v>1411</v>
      </c>
      <c r="N418">
        <v>35</v>
      </c>
      <c r="O418" t="s">
        <v>1412</v>
      </c>
      <c r="P418" t="str">
        <f>RIGHT(RIGHT(Table2[[#This Row],[last Updated]],12),4)</f>
        <v xml:space="preserve"> PDT</v>
      </c>
      <c r="Q418" t="s">
        <v>70</v>
      </c>
    </row>
    <row r="419" spans="1:17" x14ac:dyDescent="0.25">
      <c r="A419" t="s">
        <v>492</v>
      </c>
      <c r="B419" t="str">
        <f>UPPER(Table2[[#This Row],[Brand]])</f>
        <v>LACOSTE</v>
      </c>
      <c r="C419" t="str">
        <f>LOWER(Table2[[#This Row],[Brand]])</f>
        <v>lacoste</v>
      </c>
      <c r="D419" t="str">
        <f>PROPER(Table2[[#This Row],[Brand]])</f>
        <v>Lacoste</v>
      </c>
      <c r="E419" t="s">
        <v>15</v>
      </c>
      <c r="F419">
        <v>47.34</v>
      </c>
      <c r="G419" t="s">
        <v>1413</v>
      </c>
      <c r="H41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$47.34</v>
      </c>
      <c r="I419" t="str">
        <f>LEFT(Table2[[#This Row],[priceWithCurrency]],3)</f>
        <v xml:space="preserve">US </v>
      </c>
      <c r="J419">
        <v>4</v>
      </c>
      <c r="K419" t="str">
        <f>IF(Table2[[#This Row],[Available]]&lt;=50, "Less Stock", "Required stock" )</f>
        <v>Less Stock</v>
      </c>
      <c r="L419">
        <f t="shared" si="6"/>
        <v>1861.6000000000001</v>
      </c>
      <c r="M419" t="s">
        <v>1414</v>
      </c>
      <c r="N419">
        <v>14</v>
      </c>
      <c r="P419" t="str">
        <f>RIGHT(RIGHT(Table2[[#This Row],[last Updated]],12),4)</f>
        <v/>
      </c>
      <c r="Q419" t="s">
        <v>1415</v>
      </c>
    </row>
    <row r="420" spans="1:17" x14ac:dyDescent="0.25">
      <c r="A420" t="s">
        <v>335</v>
      </c>
      <c r="B420" t="str">
        <f>UPPER(Table2[[#This Row],[Brand]])</f>
        <v>COLOGNE</v>
      </c>
      <c r="C420" t="str">
        <f>LOWER(Table2[[#This Row],[Brand]])</f>
        <v>cologne</v>
      </c>
      <c r="D420" t="str">
        <f>PROPER(Table2[[#This Row],[Brand]])</f>
        <v>Cologne</v>
      </c>
      <c r="E420" t="s">
        <v>15</v>
      </c>
      <c r="F420">
        <v>28.99</v>
      </c>
      <c r="G420" t="s">
        <v>547</v>
      </c>
      <c r="H42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$28.99</v>
      </c>
      <c r="I420" t="str">
        <f>LEFT(Table2[[#This Row],[priceWithCurrency]],3)</f>
        <v xml:space="preserve">US </v>
      </c>
      <c r="J420">
        <v>5</v>
      </c>
      <c r="K420" t="str">
        <f>IF(Table2[[#This Row],[Available]]&lt;=50, "Less Stock", "Required stock" )</f>
        <v>Less Stock</v>
      </c>
      <c r="L420">
        <f t="shared" si="6"/>
        <v>935.75000000000011</v>
      </c>
      <c r="M420" t="s">
        <v>1416</v>
      </c>
      <c r="N420">
        <v>111</v>
      </c>
      <c r="O420" t="s">
        <v>1417</v>
      </c>
      <c r="P420" t="str">
        <f>RIGHT(RIGHT(Table2[[#This Row],[last Updated]],12),4)</f>
        <v xml:space="preserve"> PDT</v>
      </c>
      <c r="Q420" t="s">
        <v>94</v>
      </c>
    </row>
    <row r="421" spans="1:17" x14ac:dyDescent="0.25">
      <c r="A421" t="s">
        <v>1098</v>
      </c>
      <c r="B421" t="str">
        <f>UPPER(Table2[[#This Row],[Brand]])</f>
        <v>COACH</v>
      </c>
      <c r="C421" t="str">
        <f>LOWER(Table2[[#This Row],[Brand]])</f>
        <v>coach</v>
      </c>
      <c r="D421" t="str">
        <f>PROPER(Table2[[#This Row],[Brand]])</f>
        <v>Coach</v>
      </c>
      <c r="E421" t="s">
        <v>841</v>
      </c>
      <c r="F421">
        <v>34.99</v>
      </c>
      <c r="G421" t="s">
        <v>57</v>
      </c>
      <c r="H42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$34.99</v>
      </c>
      <c r="I421" t="str">
        <f>LEFT(Table2[[#This Row],[priceWithCurrency]],3)</f>
        <v xml:space="preserve">US </v>
      </c>
      <c r="J421">
        <v>10</v>
      </c>
      <c r="K421" t="str">
        <f>IF(Table2[[#This Row],[Available]]&lt;=50, "Less Stock", "Required stock" )</f>
        <v>Less Stock</v>
      </c>
      <c r="L421">
        <f t="shared" si="6"/>
        <v>935.75000000000011</v>
      </c>
      <c r="M421" t="s">
        <v>495</v>
      </c>
      <c r="N421">
        <v>9</v>
      </c>
      <c r="O421" t="s">
        <v>1418</v>
      </c>
      <c r="P421" t="str">
        <f>RIGHT(RIGHT(Table2[[#This Row],[last Updated]],12),4)</f>
        <v xml:space="preserve"> PDT</v>
      </c>
      <c r="Q421" t="s">
        <v>226</v>
      </c>
    </row>
    <row r="422" spans="1:17" x14ac:dyDescent="0.25">
      <c r="A422" t="s">
        <v>1419</v>
      </c>
      <c r="B422" t="str">
        <f>UPPER(Table2[[#This Row],[Brand]])</f>
        <v>AVON</v>
      </c>
      <c r="C422" t="str">
        <f>LOWER(Table2[[#This Row],[Brand]])</f>
        <v>avon</v>
      </c>
      <c r="D422" t="str">
        <f>PROPER(Table2[[#This Row],[Brand]])</f>
        <v>Avon</v>
      </c>
      <c r="E422" t="s">
        <v>32</v>
      </c>
      <c r="F422">
        <v>13.94</v>
      </c>
      <c r="G422" t="s">
        <v>1420</v>
      </c>
      <c r="H42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$13.94</v>
      </c>
      <c r="I422" t="str">
        <f>LEFT(Table2[[#This Row],[priceWithCurrency]],3)</f>
        <v xml:space="preserve">US </v>
      </c>
      <c r="J422">
        <v>10</v>
      </c>
      <c r="K422" t="str">
        <f>IF(Table2[[#This Row],[Available]]&lt;=50, "Less Stock", "Required stock" )</f>
        <v>Less Stock</v>
      </c>
      <c r="L422">
        <f t="shared" si="6"/>
        <v>1682.75</v>
      </c>
      <c r="M422" t="s">
        <v>1228</v>
      </c>
      <c r="N422">
        <v>66</v>
      </c>
      <c r="O422" t="s">
        <v>1421</v>
      </c>
      <c r="P422" t="str">
        <f>RIGHT(RIGHT(Table2[[#This Row],[last Updated]],12),4)</f>
        <v xml:space="preserve"> PDT</v>
      </c>
      <c r="Q422" t="s">
        <v>1422</v>
      </c>
    </row>
    <row r="423" spans="1:17" x14ac:dyDescent="0.25">
      <c r="A423" t="s">
        <v>373</v>
      </c>
      <c r="B423" t="str">
        <f>UPPER(Table2[[#This Row],[Brand]])</f>
        <v>ABERCROMBIE &amp; FITCH</v>
      </c>
      <c r="C423" t="str">
        <f>LOWER(Table2[[#This Row],[Brand]])</f>
        <v>abercrombie &amp; fitch</v>
      </c>
      <c r="D423" t="str">
        <f>PROPER(Table2[[#This Row],[Brand]])</f>
        <v>Abercrombie &amp; Fitch</v>
      </c>
      <c r="E423" t="s">
        <v>374</v>
      </c>
      <c r="F423">
        <v>44.99</v>
      </c>
      <c r="G423" t="s">
        <v>21</v>
      </c>
      <c r="H42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$44.99</v>
      </c>
      <c r="I423" t="str">
        <f>LEFT(Table2[[#This Row],[priceWithCurrency]],3)</f>
        <v xml:space="preserve">US </v>
      </c>
      <c r="J423">
        <v>6</v>
      </c>
      <c r="K423" t="str">
        <f>IF(Table2[[#This Row],[Available]]&lt;=50, "Less Stock", "Required stock" )</f>
        <v>Less Stock</v>
      </c>
      <c r="L423">
        <f t="shared" si="6"/>
        <v>980.74000000000012</v>
      </c>
      <c r="M423" t="s">
        <v>1423</v>
      </c>
      <c r="N423">
        <v>38</v>
      </c>
      <c r="O423" t="s">
        <v>1424</v>
      </c>
      <c r="P423" t="str">
        <f>RIGHT(RIGHT(Table2[[#This Row],[last Updated]],12),4)</f>
        <v xml:space="preserve"> PDT</v>
      </c>
      <c r="Q423" t="s">
        <v>55</v>
      </c>
    </row>
    <row r="424" spans="1:17" x14ac:dyDescent="0.25">
      <c r="A424" t="s">
        <v>180</v>
      </c>
      <c r="B424" t="str">
        <f>UPPER(Table2[[#This Row],[Brand]])</f>
        <v>CALVIN KLEIN</v>
      </c>
      <c r="C424" t="str">
        <f>LOWER(Table2[[#This Row],[Brand]])</f>
        <v>calvin klein</v>
      </c>
      <c r="D424" t="str">
        <f>PROPER(Table2[[#This Row],[Brand]])</f>
        <v>Calvin Klein</v>
      </c>
      <c r="E424" t="s">
        <v>15</v>
      </c>
      <c r="F424">
        <v>28.02</v>
      </c>
      <c r="G424" t="s">
        <v>1425</v>
      </c>
      <c r="H42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$28.02</v>
      </c>
      <c r="I424" t="str">
        <f>LEFT(Table2[[#This Row],[priceWithCurrency]],3)</f>
        <v xml:space="preserve">US </v>
      </c>
      <c r="K424" t="str">
        <f>IF(Table2[[#This Row],[Available]]&lt;=50, "Less Stock", "Required stock" )</f>
        <v>Less Stock</v>
      </c>
      <c r="L424">
        <f t="shared" si="6"/>
        <v>193.96999999999997</v>
      </c>
      <c r="M424" t="s">
        <v>1426</v>
      </c>
      <c r="N424">
        <v>5377</v>
      </c>
      <c r="O424" t="s">
        <v>1427</v>
      </c>
      <c r="P424" t="str">
        <f>RIGHT(RIGHT(Table2[[#This Row],[last Updated]],12),4)</f>
        <v xml:space="preserve"> PDT</v>
      </c>
      <c r="Q424" t="s">
        <v>108</v>
      </c>
    </row>
    <row r="425" spans="1:17" x14ac:dyDescent="0.25">
      <c r="A425" t="s">
        <v>14</v>
      </c>
      <c r="B425" t="str">
        <f>UPPER(Table2[[#This Row],[Brand]])</f>
        <v>UNBRANDED</v>
      </c>
      <c r="C425" t="str">
        <f>LOWER(Table2[[#This Row],[Brand]])</f>
        <v>unbranded</v>
      </c>
      <c r="D425" t="str">
        <f>PROPER(Table2[[#This Row],[Brand]])</f>
        <v>Unbranded</v>
      </c>
      <c r="E425" t="s">
        <v>32</v>
      </c>
      <c r="F425">
        <v>49.99</v>
      </c>
      <c r="G425" t="s">
        <v>114</v>
      </c>
      <c r="H42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$49.99</v>
      </c>
      <c r="I425" t="str">
        <f>LEFT(Table2[[#This Row],[priceWithCurrency]],3)</f>
        <v xml:space="preserve">US </v>
      </c>
      <c r="J425">
        <v>10</v>
      </c>
      <c r="K425" t="str">
        <f>IF(Table2[[#This Row],[Available]]&lt;=50, "Less Stock", "Required stock" )</f>
        <v>Less Stock</v>
      </c>
      <c r="L425">
        <f t="shared" si="6"/>
        <v>29.99</v>
      </c>
      <c r="M425" t="s">
        <v>1428</v>
      </c>
      <c r="N425">
        <v>45</v>
      </c>
      <c r="O425" t="s">
        <v>1429</v>
      </c>
      <c r="P425" t="str">
        <f>RIGHT(RIGHT(Table2[[#This Row],[last Updated]],12),4)</f>
        <v xml:space="preserve"> PDT</v>
      </c>
      <c r="Q425" t="s">
        <v>36</v>
      </c>
    </row>
    <row r="426" spans="1:17" x14ac:dyDescent="0.25">
      <c r="A426" t="s">
        <v>1430</v>
      </c>
      <c r="B426" t="str">
        <f>UPPER(Table2[[#This Row],[Brand]])</f>
        <v>YVES DE SISTELLE</v>
      </c>
      <c r="C426" t="str">
        <f>LOWER(Table2[[#This Row],[Brand]])</f>
        <v>yves de sistelle</v>
      </c>
      <c r="D426" t="str">
        <f>PROPER(Table2[[#This Row],[Brand]])</f>
        <v>Yves De Sistelle</v>
      </c>
      <c r="E426" t="s">
        <v>15</v>
      </c>
      <c r="F426">
        <v>19.75</v>
      </c>
      <c r="G426" t="s">
        <v>1431</v>
      </c>
      <c r="H42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$19.75</v>
      </c>
      <c r="I426" t="str">
        <f>LEFT(Table2[[#This Row],[priceWithCurrency]],3)</f>
        <v xml:space="preserve">US </v>
      </c>
      <c r="J426">
        <v>82</v>
      </c>
      <c r="K426" t="str">
        <f>IF(Table2[[#This Row],[Available]]&lt;=50, "Less Stock", "Required stock" )</f>
        <v>Required stock</v>
      </c>
      <c r="L426">
        <f t="shared" si="6"/>
        <v>1692.92</v>
      </c>
      <c r="M426" t="s">
        <v>1432</v>
      </c>
      <c r="N426">
        <v>7253</v>
      </c>
      <c r="O426" t="s">
        <v>1433</v>
      </c>
      <c r="P426" t="str">
        <f>RIGHT(RIGHT(Table2[[#This Row],[last Updated]],12),4)</f>
        <v xml:space="preserve"> PDT</v>
      </c>
      <c r="Q426" t="s">
        <v>121</v>
      </c>
    </row>
    <row r="427" spans="1:17" x14ac:dyDescent="0.25">
      <c r="A427" t="s">
        <v>20</v>
      </c>
      <c r="B427" t="str">
        <f>UPPER(Table2[[#This Row],[Brand]])</f>
        <v>GIORGIO ARMANI</v>
      </c>
      <c r="C427" t="str">
        <f>LOWER(Table2[[#This Row],[Brand]])</f>
        <v>giorgio armani</v>
      </c>
      <c r="D427" t="str">
        <f>PROPER(Table2[[#This Row],[Brand]])</f>
        <v>Giorgio Armani</v>
      </c>
      <c r="E427" t="s">
        <v>15</v>
      </c>
      <c r="F427">
        <v>28.99</v>
      </c>
      <c r="G427" t="s">
        <v>547</v>
      </c>
      <c r="H42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$28.99</v>
      </c>
      <c r="I427" t="str">
        <f>LEFT(Table2[[#This Row],[priceWithCurrency]],3)</f>
        <v xml:space="preserve">US </v>
      </c>
      <c r="J427">
        <v>10</v>
      </c>
      <c r="K427" t="str">
        <f>IF(Table2[[#This Row],[Available]]&lt;=50, "Less Stock", "Required stock" )</f>
        <v>Less Stock</v>
      </c>
      <c r="L427">
        <f t="shared" si="6"/>
        <v>1657.5900000000004</v>
      </c>
      <c r="M427" t="s">
        <v>1387</v>
      </c>
      <c r="N427">
        <v>10</v>
      </c>
      <c r="P427" t="str">
        <f>RIGHT(RIGHT(Table2[[#This Row],[last Updated]],12),4)</f>
        <v/>
      </c>
      <c r="Q427" t="s">
        <v>135</v>
      </c>
    </row>
    <row r="428" spans="1:17" x14ac:dyDescent="0.25">
      <c r="A428" t="s">
        <v>1434</v>
      </c>
      <c r="B428" t="str">
        <f>UPPER(Table2[[#This Row],[Brand]])</f>
        <v>CHANEL</v>
      </c>
      <c r="C428" t="str">
        <f>LOWER(Table2[[#This Row],[Brand]])</f>
        <v>chanel</v>
      </c>
      <c r="D428" t="str">
        <f>PROPER(Table2[[#This Row],[Brand]])</f>
        <v>Chanel</v>
      </c>
      <c r="E428" t="s">
        <v>15</v>
      </c>
      <c r="F428">
        <v>22</v>
      </c>
      <c r="G428" t="s">
        <v>1327</v>
      </c>
      <c r="H42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$22.00</v>
      </c>
      <c r="I428" t="str">
        <f>LEFT(Table2[[#This Row],[priceWithCurrency]],3)</f>
        <v xml:space="preserve">US </v>
      </c>
      <c r="J428">
        <v>10</v>
      </c>
      <c r="K428" t="str">
        <f>IF(Table2[[#This Row],[Available]]&lt;=50, "Less Stock", "Required stock" )</f>
        <v>Less Stock</v>
      </c>
      <c r="L428">
        <f t="shared" si="6"/>
        <v>288.86</v>
      </c>
      <c r="M428" t="s">
        <v>1435</v>
      </c>
      <c r="N428">
        <v>286</v>
      </c>
      <c r="O428" t="s">
        <v>1436</v>
      </c>
      <c r="P428" t="str">
        <f>RIGHT(RIGHT(Table2[[#This Row],[last Updated]],12),4)</f>
        <v xml:space="preserve"> PST</v>
      </c>
      <c r="Q428" t="s">
        <v>468</v>
      </c>
    </row>
    <row r="429" spans="1:17" x14ac:dyDescent="0.25">
      <c r="A429" t="s">
        <v>476</v>
      </c>
      <c r="B429" t="str">
        <f>UPPER(Table2[[#This Row],[Brand]])</f>
        <v>HERMÈS</v>
      </c>
      <c r="C429" t="str">
        <f>LOWER(Table2[[#This Row],[Brand]])</f>
        <v>hermès</v>
      </c>
      <c r="D429" t="str">
        <f>PROPER(Table2[[#This Row],[Brand]])</f>
        <v>Hermès</v>
      </c>
      <c r="E429" t="s">
        <v>1339</v>
      </c>
      <c r="F429">
        <v>39.99</v>
      </c>
      <c r="G429" t="s">
        <v>514</v>
      </c>
      <c r="H42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$39.99</v>
      </c>
      <c r="I429" t="str">
        <f>LEFT(Table2[[#This Row],[priceWithCurrency]],3)</f>
        <v xml:space="preserve">US </v>
      </c>
      <c r="J429">
        <v>10</v>
      </c>
      <c r="K429" t="str">
        <f>IF(Table2[[#This Row],[Available]]&lt;=50, "Less Stock", "Required stock" )</f>
        <v>Less Stock</v>
      </c>
      <c r="L429">
        <f t="shared" si="6"/>
        <v>1446.9500000000003</v>
      </c>
      <c r="M429" t="s">
        <v>1437</v>
      </c>
      <c r="N429">
        <v>40</v>
      </c>
      <c r="O429" t="s">
        <v>1438</v>
      </c>
      <c r="P429" t="str">
        <f>RIGHT(RIGHT(Table2[[#This Row],[last Updated]],12),4)</f>
        <v xml:space="preserve"> PST</v>
      </c>
      <c r="Q429" t="s">
        <v>89</v>
      </c>
    </row>
    <row r="430" spans="1:17" x14ac:dyDescent="0.25">
      <c r="A430" t="s">
        <v>170</v>
      </c>
      <c r="B430" t="str">
        <f>UPPER(Table2[[#This Row],[Brand]])</f>
        <v>RASASI</v>
      </c>
      <c r="C430" t="str">
        <f>LOWER(Table2[[#This Row],[Brand]])</f>
        <v>rasasi</v>
      </c>
      <c r="D430" t="str">
        <f>PROPER(Table2[[#This Row],[Brand]])</f>
        <v>Rasasi</v>
      </c>
      <c r="E430" t="s">
        <v>4</v>
      </c>
      <c r="F430">
        <v>53.99</v>
      </c>
      <c r="G430" t="s">
        <v>725</v>
      </c>
      <c r="H43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$53.99</v>
      </c>
      <c r="I430" t="str">
        <f>LEFT(Table2[[#This Row],[priceWithCurrency]],3)</f>
        <v xml:space="preserve">US </v>
      </c>
      <c r="J430">
        <v>12</v>
      </c>
      <c r="K430" t="str">
        <f>IF(Table2[[#This Row],[Available]]&lt;=50, "Less Stock", "Required stock" )</f>
        <v>Less Stock</v>
      </c>
      <c r="L430">
        <f t="shared" si="6"/>
        <v>1469.8200000000002</v>
      </c>
      <c r="M430" t="s">
        <v>1439</v>
      </c>
      <c r="N430">
        <v>140</v>
      </c>
      <c r="O430" t="s">
        <v>1440</v>
      </c>
      <c r="P430" t="str">
        <f>RIGHT(RIGHT(Table2[[#This Row],[last Updated]],12),4)</f>
        <v xml:space="preserve"> PDT</v>
      </c>
      <c r="Q430" t="s">
        <v>438</v>
      </c>
    </row>
    <row r="431" spans="1:17" x14ac:dyDescent="0.25">
      <c r="A431" t="s">
        <v>416</v>
      </c>
      <c r="B431" t="str">
        <f>UPPER(Table2[[#This Row],[Brand]])</f>
        <v>AS SHOWN</v>
      </c>
      <c r="C431" t="str">
        <f>LOWER(Table2[[#This Row],[Brand]])</f>
        <v>as shown</v>
      </c>
      <c r="D431" t="str">
        <f>PROPER(Table2[[#This Row],[Brand]])</f>
        <v>As Shown</v>
      </c>
      <c r="E431" t="s">
        <v>15</v>
      </c>
      <c r="F431">
        <v>49.63</v>
      </c>
      <c r="G431" t="s">
        <v>1441</v>
      </c>
      <c r="H43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$49.63</v>
      </c>
      <c r="I431" t="str">
        <f>LEFT(Table2[[#This Row],[priceWithCurrency]],3)</f>
        <v xml:space="preserve">US </v>
      </c>
      <c r="J431">
        <v>10</v>
      </c>
      <c r="K431" t="str">
        <f>IF(Table2[[#This Row],[Available]]&lt;=50, "Less Stock", "Required stock" )</f>
        <v>Less Stock</v>
      </c>
      <c r="L431">
        <f t="shared" si="6"/>
        <v>1469.8200000000002</v>
      </c>
      <c r="M431" t="s">
        <v>576</v>
      </c>
      <c r="N431">
        <v>5</v>
      </c>
      <c r="O431" t="s">
        <v>1442</v>
      </c>
      <c r="P431" t="str">
        <f>RIGHT(RIGHT(Table2[[#This Row],[last Updated]],12),4)</f>
        <v xml:space="preserve"> PDT</v>
      </c>
      <c r="Q431" t="s">
        <v>947</v>
      </c>
    </row>
    <row r="432" spans="1:17" x14ac:dyDescent="0.25">
      <c r="A432" t="s">
        <v>1443</v>
      </c>
      <c r="B432" t="str">
        <f>UPPER(Table2[[#This Row],[Brand]])</f>
        <v>LIMITED EDITION</v>
      </c>
      <c r="C432" t="str">
        <f>LOWER(Table2[[#This Row],[Brand]])</f>
        <v>limited edition</v>
      </c>
      <c r="D432" t="str">
        <f>PROPER(Table2[[#This Row],[Brand]])</f>
        <v>Limited Edition</v>
      </c>
      <c r="E432" t="s">
        <v>127</v>
      </c>
      <c r="F432">
        <v>65.5</v>
      </c>
      <c r="G432" t="s">
        <v>1444</v>
      </c>
      <c r="H43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$65.50</v>
      </c>
      <c r="I432" t="str">
        <f>LEFT(Table2[[#This Row],[priceWithCurrency]],3)</f>
        <v xml:space="preserve">US </v>
      </c>
      <c r="J432">
        <v>10</v>
      </c>
      <c r="K432" t="str">
        <f>IF(Table2[[#This Row],[Available]]&lt;=50, "Less Stock", "Required stock" )</f>
        <v>Less Stock</v>
      </c>
      <c r="L432">
        <f t="shared" si="6"/>
        <v>1435.8300000000002</v>
      </c>
      <c r="M432" t="s">
        <v>1211</v>
      </c>
      <c r="N432">
        <v>21</v>
      </c>
      <c r="O432" t="s">
        <v>1445</v>
      </c>
      <c r="P432" t="str">
        <f>RIGHT(RIGHT(Table2[[#This Row],[last Updated]],12),4)</f>
        <v xml:space="preserve"> PDT</v>
      </c>
      <c r="Q432" t="s">
        <v>36</v>
      </c>
    </row>
    <row r="433" spans="1:17" x14ac:dyDescent="0.25">
      <c r="A433" t="s">
        <v>1446</v>
      </c>
      <c r="B433" t="str">
        <f>UPPER(Table2[[#This Row],[Brand]])</f>
        <v>KENNETH COLE REACTION</v>
      </c>
      <c r="C433" t="str">
        <f>LOWER(Table2[[#This Row],[Brand]])</f>
        <v>kenneth cole reaction</v>
      </c>
      <c r="D433" t="str">
        <f>PROPER(Table2[[#This Row],[Brand]])</f>
        <v>Kenneth Cole Reaction</v>
      </c>
      <c r="E433" t="s">
        <v>15</v>
      </c>
      <c r="F433">
        <v>22.99</v>
      </c>
      <c r="G433" t="s">
        <v>923</v>
      </c>
      <c r="H43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$22.99</v>
      </c>
      <c r="I433" t="str">
        <f>LEFT(Table2[[#This Row],[priceWithCurrency]],3)</f>
        <v xml:space="preserve">US </v>
      </c>
      <c r="J433">
        <v>10</v>
      </c>
      <c r="K433" t="str">
        <f>IF(Table2[[#This Row],[Available]]&lt;=50, "Less Stock", "Required stock" )</f>
        <v>Less Stock</v>
      </c>
      <c r="L433">
        <f t="shared" si="6"/>
        <v>1454.7900000000002</v>
      </c>
      <c r="M433" t="s">
        <v>1447</v>
      </c>
      <c r="N433">
        <v>31</v>
      </c>
      <c r="O433" t="s">
        <v>1448</v>
      </c>
      <c r="P433" t="str">
        <f>RIGHT(RIGHT(Table2[[#This Row],[last Updated]],12),4)</f>
        <v xml:space="preserve"> PDT</v>
      </c>
      <c r="Q433" t="s">
        <v>926</v>
      </c>
    </row>
    <row r="434" spans="1:17" x14ac:dyDescent="0.25">
      <c r="A434" t="s">
        <v>90</v>
      </c>
      <c r="B434" t="str">
        <f>UPPER(Table2[[#This Row],[Brand]])</f>
        <v>ARMAF</v>
      </c>
      <c r="C434" t="str">
        <f>LOWER(Table2[[#This Row],[Brand]])</f>
        <v>armaf</v>
      </c>
      <c r="D434" t="str">
        <f>PROPER(Table2[[#This Row],[Brand]])</f>
        <v>Armaf</v>
      </c>
      <c r="E434" t="s">
        <v>715</v>
      </c>
      <c r="F434">
        <v>36.950000000000003</v>
      </c>
      <c r="G434" t="s">
        <v>1449</v>
      </c>
      <c r="H43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$36.95</v>
      </c>
      <c r="I434" t="str">
        <f>LEFT(Table2[[#This Row],[priceWithCurrency]],3)</f>
        <v xml:space="preserve">US </v>
      </c>
      <c r="J434">
        <v>36</v>
      </c>
      <c r="K434" t="str">
        <f>IF(Table2[[#This Row],[Available]]&lt;=50, "Less Stock", "Required stock" )</f>
        <v>Less Stock</v>
      </c>
      <c r="L434">
        <f t="shared" si="6"/>
        <v>1427.8900000000003</v>
      </c>
      <c r="M434" t="s">
        <v>1450</v>
      </c>
      <c r="N434">
        <v>109</v>
      </c>
      <c r="O434" t="s">
        <v>1451</v>
      </c>
      <c r="P434" t="str">
        <f>RIGHT(RIGHT(Table2[[#This Row],[last Updated]],12),4)</f>
        <v xml:space="preserve"> PDT</v>
      </c>
      <c r="Q434" t="s">
        <v>121</v>
      </c>
    </row>
    <row r="435" spans="1:17" x14ac:dyDescent="0.25">
      <c r="A435" t="s">
        <v>1452</v>
      </c>
      <c r="B435" t="str">
        <f>UPPER(Table2[[#This Row],[Brand]])</f>
        <v>BOND NO. 9</v>
      </c>
      <c r="C435" t="str">
        <f>LOWER(Table2[[#This Row],[Brand]])</f>
        <v>bond no. 9</v>
      </c>
      <c r="D435" t="str">
        <f>PROPER(Table2[[#This Row],[Brand]])</f>
        <v>Bond No. 9</v>
      </c>
      <c r="E435" t="s">
        <v>4</v>
      </c>
      <c r="F435">
        <v>17.98</v>
      </c>
      <c r="G435" t="s">
        <v>1227</v>
      </c>
      <c r="H43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$17.98</v>
      </c>
      <c r="I435" t="str">
        <f>LEFT(Table2[[#This Row],[priceWithCurrency]],3)</f>
        <v xml:space="preserve">US </v>
      </c>
      <c r="J435">
        <v>10</v>
      </c>
      <c r="K435" t="str">
        <f>IF(Table2[[#This Row],[Available]]&lt;=50, "Less Stock", "Required stock" )</f>
        <v>Less Stock</v>
      </c>
      <c r="L435">
        <f t="shared" si="6"/>
        <v>1020.3000000000002</v>
      </c>
      <c r="M435" t="s">
        <v>720</v>
      </c>
      <c r="N435">
        <v>12</v>
      </c>
      <c r="O435" t="s">
        <v>1453</v>
      </c>
      <c r="P435" t="str">
        <f>RIGHT(RIGHT(Table2[[#This Row],[last Updated]],12),4)</f>
        <v xml:space="preserve"> PDT</v>
      </c>
      <c r="Q435" t="s">
        <v>1230</v>
      </c>
    </row>
    <row r="436" spans="1:17" x14ac:dyDescent="0.25">
      <c r="A436" t="s">
        <v>14</v>
      </c>
      <c r="B436" t="str">
        <f>UPPER(Table2[[#This Row],[Brand]])</f>
        <v>UNBRANDED</v>
      </c>
      <c r="C436" t="str">
        <f>LOWER(Table2[[#This Row],[Brand]])</f>
        <v>unbranded</v>
      </c>
      <c r="D436" t="str">
        <f>PROPER(Table2[[#This Row],[Brand]])</f>
        <v>Unbranded</v>
      </c>
      <c r="E436" t="s">
        <v>4</v>
      </c>
      <c r="F436">
        <v>16.989999999999998</v>
      </c>
      <c r="G436" t="s">
        <v>343</v>
      </c>
      <c r="H43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$16.99</v>
      </c>
      <c r="I436" t="str">
        <f>LEFT(Table2[[#This Row],[priceWithCurrency]],3)</f>
        <v xml:space="preserve">US </v>
      </c>
      <c r="J436">
        <v>10</v>
      </c>
      <c r="K436" t="str">
        <f>IF(Table2[[#This Row],[Available]]&lt;=50, "Less Stock", "Required stock" )</f>
        <v>Less Stock</v>
      </c>
      <c r="L436">
        <f t="shared" si="6"/>
        <v>1495.8800000000003</v>
      </c>
      <c r="M436" t="s">
        <v>1454</v>
      </c>
      <c r="N436">
        <v>22</v>
      </c>
      <c r="O436" t="s">
        <v>1455</v>
      </c>
      <c r="P436" t="str">
        <f>RIGHT(RIGHT(Table2[[#This Row],[last Updated]],12),4)</f>
        <v xml:space="preserve"> PDT</v>
      </c>
      <c r="Q436" t="s">
        <v>1456</v>
      </c>
    </row>
    <row r="437" spans="1:17" x14ac:dyDescent="0.25">
      <c r="A437" t="s">
        <v>56</v>
      </c>
      <c r="B437" t="str">
        <f>UPPER(Table2[[#This Row],[Brand]])</f>
        <v>RALPH LAUREN</v>
      </c>
      <c r="C437" t="str">
        <f>LOWER(Table2[[#This Row],[Brand]])</f>
        <v>ralph lauren</v>
      </c>
      <c r="D437" t="str">
        <f>PROPER(Table2[[#This Row],[Brand]])</f>
        <v>Ralph Lauren</v>
      </c>
      <c r="E437" t="s">
        <v>15</v>
      </c>
      <c r="F437">
        <v>17.34</v>
      </c>
      <c r="G437" t="s">
        <v>1457</v>
      </c>
      <c r="H43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$17.34</v>
      </c>
      <c r="I437" t="str">
        <f>LEFT(Table2[[#This Row],[priceWithCurrency]],3)</f>
        <v xml:space="preserve">US </v>
      </c>
      <c r="J437">
        <v>10</v>
      </c>
      <c r="K437" t="str">
        <f>IF(Table2[[#This Row],[Available]]&lt;=50, "Less Stock", "Required stock" )</f>
        <v>Less Stock</v>
      </c>
      <c r="L437">
        <f t="shared" si="6"/>
        <v>1524.3000000000004</v>
      </c>
      <c r="M437" t="s">
        <v>1458</v>
      </c>
      <c r="N437">
        <v>460</v>
      </c>
      <c r="O437" t="s">
        <v>1459</v>
      </c>
      <c r="P437" t="str">
        <f>RIGHT(RIGHT(Table2[[#This Row],[last Updated]],12),4)</f>
        <v xml:space="preserve"> PDT</v>
      </c>
      <c r="Q437" t="s">
        <v>108</v>
      </c>
    </row>
    <row r="438" spans="1:17" x14ac:dyDescent="0.25">
      <c r="A438" t="s">
        <v>14</v>
      </c>
      <c r="B438" t="str">
        <f>UPPER(Table2[[#This Row],[Brand]])</f>
        <v>UNBRANDED</v>
      </c>
      <c r="C438" t="str">
        <f>LOWER(Table2[[#This Row],[Brand]])</f>
        <v>unbranded</v>
      </c>
      <c r="D438" t="str">
        <f>PROPER(Table2[[#This Row],[Brand]])</f>
        <v>Unbranded</v>
      </c>
      <c r="E438" t="s">
        <v>32</v>
      </c>
      <c r="F438">
        <v>13</v>
      </c>
      <c r="G438" t="s">
        <v>1460</v>
      </c>
      <c r="H43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$13.00</v>
      </c>
      <c r="I438" t="str">
        <f>LEFT(Table2[[#This Row],[priceWithCurrency]],3)</f>
        <v xml:space="preserve">US </v>
      </c>
      <c r="J438">
        <v>7</v>
      </c>
      <c r="K438" t="str">
        <f>IF(Table2[[#This Row],[Available]]&lt;=50, "Less Stock", "Required stock" )</f>
        <v>Less Stock</v>
      </c>
      <c r="L438">
        <f t="shared" si="6"/>
        <v>1545.1600000000003</v>
      </c>
      <c r="M438" t="s">
        <v>1461</v>
      </c>
      <c r="N438">
        <v>11</v>
      </c>
      <c r="O438" t="s">
        <v>1462</v>
      </c>
      <c r="P438" t="str">
        <f>RIGHT(RIGHT(Table2[[#This Row],[last Updated]],12),4)</f>
        <v xml:space="preserve"> PDT</v>
      </c>
      <c r="Q438" t="s">
        <v>480</v>
      </c>
    </row>
    <row r="439" spans="1:17" x14ac:dyDescent="0.25">
      <c r="A439" t="s">
        <v>543</v>
      </c>
      <c r="B439" t="str">
        <f>UPPER(Table2[[#This Row],[Brand]])</f>
        <v>JEAN PAUL GAULTIER</v>
      </c>
      <c r="C439" t="str">
        <f>LOWER(Table2[[#This Row],[Brand]])</f>
        <v>jean paul gaultier</v>
      </c>
      <c r="D439" t="str">
        <f>PROPER(Table2[[#This Row],[Brand]])</f>
        <v>Jean Paul Gaultier</v>
      </c>
      <c r="E439" t="s">
        <v>15</v>
      </c>
      <c r="F439">
        <v>114.99</v>
      </c>
      <c r="G439" t="s">
        <v>1463</v>
      </c>
      <c r="H43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$114.99</v>
      </c>
      <c r="I439" t="str">
        <f>LEFT(Table2[[#This Row],[priceWithCurrency]],3)</f>
        <v xml:space="preserve">US </v>
      </c>
      <c r="J439">
        <v>10</v>
      </c>
      <c r="K439" t="str">
        <f>IF(Table2[[#This Row],[Available]]&lt;=50, "Less Stock", "Required stock" )</f>
        <v>Less Stock</v>
      </c>
      <c r="L439">
        <f t="shared" si="6"/>
        <v>933.1600000000002</v>
      </c>
      <c r="M439" t="s">
        <v>1464</v>
      </c>
      <c r="N439">
        <v>539</v>
      </c>
      <c r="O439" t="s">
        <v>1465</v>
      </c>
      <c r="P439" t="str">
        <f>RIGHT(RIGHT(Table2[[#This Row],[last Updated]],12),4)</f>
        <v xml:space="preserve"> PDT</v>
      </c>
      <c r="Q439" t="s">
        <v>131</v>
      </c>
    </row>
    <row r="440" spans="1:17" x14ac:dyDescent="0.25">
      <c r="A440" t="s">
        <v>90</v>
      </c>
      <c r="B440" t="str">
        <f>UPPER(Table2[[#This Row],[Brand]])</f>
        <v>ARMAF</v>
      </c>
      <c r="C440" t="str">
        <f>LOWER(Table2[[#This Row],[Brand]])</f>
        <v>armaf</v>
      </c>
      <c r="D440" t="str">
        <f>PROPER(Table2[[#This Row],[Brand]])</f>
        <v>Armaf</v>
      </c>
      <c r="E440" t="s">
        <v>4</v>
      </c>
      <c r="F440">
        <v>29.99</v>
      </c>
      <c r="G440" t="s">
        <v>91</v>
      </c>
      <c r="H44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$29.99</v>
      </c>
      <c r="I440" t="str">
        <f>LEFT(Table2[[#This Row],[priceWithCurrency]],3)</f>
        <v xml:space="preserve">US </v>
      </c>
      <c r="J440">
        <v>3</v>
      </c>
      <c r="K440" t="str">
        <f>IF(Table2[[#This Row],[Available]]&lt;=50, "Less Stock", "Required stock" )</f>
        <v>Less Stock</v>
      </c>
      <c r="L440">
        <f t="shared" si="6"/>
        <v>1554.6100000000004</v>
      </c>
      <c r="M440" t="s">
        <v>1331</v>
      </c>
      <c r="N440">
        <v>7</v>
      </c>
      <c r="O440" t="s">
        <v>1466</v>
      </c>
      <c r="P440" t="str">
        <f>RIGHT(RIGHT(Table2[[#This Row],[last Updated]],12),4)</f>
        <v xml:space="preserve"> PDT</v>
      </c>
      <c r="Q440" t="s">
        <v>36</v>
      </c>
    </row>
    <row r="441" spans="1:17" x14ac:dyDescent="0.25">
      <c r="A441" t="s">
        <v>117</v>
      </c>
      <c r="B441" t="str">
        <f>UPPER(Table2[[#This Row],[Brand]])</f>
        <v>AFNAN</v>
      </c>
      <c r="C441" t="str">
        <f>LOWER(Table2[[#This Row],[Brand]])</f>
        <v>afnan</v>
      </c>
      <c r="D441" t="str">
        <f>PROPER(Table2[[#This Row],[Brand]])</f>
        <v>Afnan</v>
      </c>
      <c r="E441" t="s">
        <v>26</v>
      </c>
      <c r="F441">
        <v>19.73</v>
      </c>
      <c r="G441" t="s">
        <v>174</v>
      </c>
      <c r="H44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$19.73</v>
      </c>
      <c r="I441" t="str">
        <f>LEFT(Table2[[#This Row],[priceWithCurrency]],3)</f>
        <v xml:space="preserve">US </v>
      </c>
      <c r="J441">
        <v>3</v>
      </c>
      <c r="K441" t="str">
        <f>IF(Table2[[#This Row],[Available]]&lt;=50, "Less Stock", "Required stock" )</f>
        <v>Less Stock</v>
      </c>
      <c r="L441">
        <f t="shared" si="6"/>
        <v>911.21000000000015</v>
      </c>
      <c r="M441" t="s">
        <v>588</v>
      </c>
      <c r="N441">
        <v>5</v>
      </c>
      <c r="O441" t="s">
        <v>1467</v>
      </c>
      <c r="P441" t="str">
        <f>RIGHT(RIGHT(Table2[[#This Row],[last Updated]],12),4)</f>
        <v xml:space="preserve"> PDT</v>
      </c>
      <c r="Q441" t="s">
        <v>30</v>
      </c>
    </row>
    <row r="442" spans="1:17" x14ac:dyDescent="0.25">
      <c r="A442" t="s">
        <v>1468</v>
      </c>
      <c r="B442" t="str">
        <f>UPPER(Table2[[#This Row],[Brand]])</f>
        <v>ACQUA DI PARMA</v>
      </c>
      <c r="C442" t="str">
        <f>LOWER(Table2[[#This Row],[Brand]])</f>
        <v>acqua di parma</v>
      </c>
      <c r="D442" t="str">
        <f>PROPER(Table2[[#This Row],[Brand]])</f>
        <v>Acqua Di Parma</v>
      </c>
      <c r="E442" t="s">
        <v>374</v>
      </c>
      <c r="F442">
        <v>69.97</v>
      </c>
      <c r="G442" t="s">
        <v>1469</v>
      </c>
      <c r="H44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$69.97</v>
      </c>
      <c r="I442" t="str">
        <f>LEFT(Table2[[#This Row],[priceWithCurrency]],3)</f>
        <v xml:space="preserve">US </v>
      </c>
      <c r="J442">
        <v>5</v>
      </c>
      <c r="K442" t="str">
        <f>IF(Table2[[#This Row],[Available]]&lt;=50, "Less Stock", "Required stock" )</f>
        <v>Less Stock</v>
      </c>
      <c r="L442">
        <f t="shared" si="6"/>
        <v>1554.6100000000004</v>
      </c>
      <c r="M442" t="s">
        <v>1470</v>
      </c>
      <c r="N442">
        <v>244</v>
      </c>
      <c r="O442" t="s">
        <v>1471</v>
      </c>
      <c r="P442" t="str">
        <f>RIGHT(RIGHT(Table2[[#This Row],[last Updated]],12),4)</f>
        <v xml:space="preserve"> PDT</v>
      </c>
      <c r="Q442" t="s">
        <v>108</v>
      </c>
    </row>
    <row r="443" spans="1:17" x14ac:dyDescent="0.25">
      <c r="A443" t="s">
        <v>492</v>
      </c>
      <c r="B443" t="str">
        <f>UPPER(Table2[[#This Row],[Brand]])</f>
        <v>LACOSTE</v>
      </c>
      <c r="C443" t="str">
        <f>LOWER(Table2[[#This Row],[Brand]])</f>
        <v>lacoste</v>
      </c>
      <c r="D443" t="str">
        <f>PROPER(Table2[[#This Row],[Brand]])</f>
        <v>Lacoste</v>
      </c>
      <c r="E443" t="s">
        <v>15</v>
      </c>
      <c r="F443">
        <v>31.95</v>
      </c>
      <c r="G443" t="s">
        <v>1472</v>
      </c>
      <c r="H44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$31.95</v>
      </c>
      <c r="I443" t="str">
        <f>LEFT(Table2[[#This Row],[priceWithCurrency]],3)</f>
        <v xml:space="preserve">US </v>
      </c>
      <c r="J443">
        <v>10</v>
      </c>
      <c r="K443" t="str">
        <f>IF(Table2[[#This Row],[Available]]&lt;=50, "Less Stock", "Required stock" )</f>
        <v>Less Stock</v>
      </c>
      <c r="L443">
        <f t="shared" si="6"/>
        <v>1604.6000000000004</v>
      </c>
      <c r="M443" t="s">
        <v>720</v>
      </c>
      <c r="N443">
        <v>12</v>
      </c>
      <c r="O443" t="s">
        <v>1473</v>
      </c>
      <c r="P443" t="str">
        <f>RIGHT(RIGHT(Table2[[#This Row],[last Updated]],12),4)</f>
        <v xml:space="preserve"> PDT</v>
      </c>
      <c r="Q443" t="s">
        <v>1075</v>
      </c>
    </row>
    <row r="444" spans="1:17" x14ac:dyDescent="0.25">
      <c r="A444" t="s">
        <v>504</v>
      </c>
      <c r="B444" t="str">
        <f>UPPER(Table2[[#This Row],[Brand]])</f>
        <v>BURBERRY</v>
      </c>
      <c r="C444" t="str">
        <f>LOWER(Table2[[#This Row],[Brand]])</f>
        <v>burberry</v>
      </c>
      <c r="D444" t="str">
        <f>PROPER(Table2[[#This Row],[Brand]])</f>
        <v>Burberry</v>
      </c>
      <c r="E444" t="s">
        <v>15</v>
      </c>
      <c r="F444">
        <v>59.99</v>
      </c>
      <c r="G444" t="s">
        <v>72</v>
      </c>
      <c r="H44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$59.99</v>
      </c>
      <c r="I444" t="str">
        <f>LEFT(Table2[[#This Row],[priceWithCurrency]],3)</f>
        <v xml:space="preserve">US </v>
      </c>
      <c r="J444">
        <v>8</v>
      </c>
      <c r="K444" t="str">
        <f>IF(Table2[[#This Row],[Available]]&lt;=50, "Less Stock", "Required stock" )</f>
        <v>Less Stock</v>
      </c>
      <c r="L444">
        <f t="shared" si="6"/>
        <v>1663.1200000000003</v>
      </c>
      <c r="M444" t="s">
        <v>1474</v>
      </c>
      <c r="N444">
        <v>39</v>
      </c>
      <c r="O444" t="s">
        <v>1475</v>
      </c>
      <c r="P444" t="str">
        <f>RIGHT(RIGHT(Table2[[#This Row],[last Updated]],12),4)</f>
        <v xml:space="preserve"> PDT</v>
      </c>
      <c r="Q444" t="s">
        <v>1476</v>
      </c>
    </row>
    <row r="445" spans="1:17" x14ac:dyDescent="0.25">
      <c r="A445" t="s">
        <v>347</v>
      </c>
      <c r="B445" t="str">
        <f>UPPER(Table2[[#This Row],[Brand]])</f>
        <v>AS SHOWN</v>
      </c>
      <c r="C445" t="str">
        <f>LOWER(Table2[[#This Row],[Brand]])</f>
        <v>as shown</v>
      </c>
      <c r="D445" t="str">
        <f>PROPER(Table2[[#This Row],[Brand]])</f>
        <v>As Shown</v>
      </c>
      <c r="E445" t="s">
        <v>4</v>
      </c>
      <c r="F445">
        <v>69.989999999999995</v>
      </c>
      <c r="G445" t="s">
        <v>616</v>
      </c>
      <c r="H44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$69.99</v>
      </c>
      <c r="I445" t="str">
        <f>LEFT(Table2[[#This Row],[priceWithCurrency]],3)</f>
        <v xml:space="preserve">US </v>
      </c>
      <c r="J445">
        <v>4</v>
      </c>
      <c r="K445" t="str">
        <f>IF(Table2[[#This Row],[Available]]&lt;=50, "Less Stock", "Required stock" )</f>
        <v>Less Stock</v>
      </c>
      <c r="L445">
        <f t="shared" si="6"/>
        <v>502.47</v>
      </c>
      <c r="M445" t="s">
        <v>1477</v>
      </c>
      <c r="N445">
        <v>11</v>
      </c>
      <c r="O445" t="s">
        <v>1478</v>
      </c>
      <c r="P445" t="str">
        <f>RIGHT(RIGHT(Table2[[#This Row],[last Updated]],12),4)</f>
        <v xml:space="preserve"> PDT</v>
      </c>
      <c r="Q445" t="s">
        <v>484</v>
      </c>
    </row>
    <row r="446" spans="1:17" x14ac:dyDescent="0.25">
      <c r="A446" t="s">
        <v>1479</v>
      </c>
      <c r="B446" t="str">
        <f>UPPER(Table2[[#This Row],[Brand]])</f>
        <v>AS PHOTOS</v>
      </c>
      <c r="C446" t="str">
        <f>LOWER(Table2[[#This Row],[Brand]])</f>
        <v>as photos</v>
      </c>
      <c r="D446" t="str">
        <f>PROPER(Table2[[#This Row],[Brand]])</f>
        <v>As Photos</v>
      </c>
      <c r="E446" t="s">
        <v>493</v>
      </c>
      <c r="F446">
        <v>34.68</v>
      </c>
      <c r="G446" t="s">
        <v>1480</v>
      </c>
      <c r="H44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$34.68</v>
      </c>
      <c r="I446" t="str">
        <f>LEFT(Table2[[#This Row],[priceWithCurrency]],3)</f>
        <v xml:space="preserve">US </v>
      </c>
      <c r="J446">
        <v>8</v>
      </c>
      <c r="K446" t="str">
        <f>IF(Table2[[#This Row],[Available]]&lt;=50, "Less Stock", "Required stock" )</f>
        <v>Less Stock</v>
      </c>
      <c r="L446">
        <f t="shared" si="6"/>
        <v>1736.7100000000005</v>
      </c>
      <c r="M446" t="s">
        <v>1481</v>
      </c>
      <c r="N446">
        <v>2</v>
      </c>
      <c r="P446" t="str">
        <f>RIGHT(RIGHT(Table2[[#This Row],[last Updated]],12),4)</f>
        <v/>
      </c>
      <c r="Q446" t="s">
        <v>497</v>
      </c>
    </row>
    <row r="447" spans="1:17" x14ac:dyDescent="0.25">
      <c r="A447" t="s">
        <v>90</v>
      </c>
      <c r="B447" t="str">
        <f>UPPER(Table2[[#This Row],[Brand]])</f>
        <v>ARMAF</v>
      </c>
      <c r="C447" t="str">
        <f>LOWER(Table2[[#This Row],[Brand]])</f>
        <v>armaf</v>
      </c>
      <c r="D447" t="str">
        <f>PROPER(Table2[[#This Row],[Brand]])</f>
        <v>Armaf</v>
      </c>
      <c r="E447" t="s">
        <v>80</v>
      </c>
      <c r="F447">
        <v>56.95</v>
      </c>
      <c r="G447" t="s">
        <v>1482</v>
      </c>
      <c r="H44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$56.95</v>
      </c>
      <c r="I447" t="str">
        <f>LEFT(Table2[[#This Row],[priceWithCurrency]],3)</f>
        <v xml:space="preserve">US </v>
      </c>
      <c r="J447">
        <v>10</v>
      </c>
      <c r="K447" t="str">
        <f>IF(Table2[[#This Row],[Available]]&lt;=50, "Less Stock", "Required stock" )</f>
        <v>Less Stock</v>
      </c>
      <c r="L447">
        <f t="shared" si="6"/>
        <v>68.989999999999995</v>
      </c>
      <c r="M447" t="s">
        <v>1483</v>
      </c>
      <c r="N447">
        <v>700</v>
      </c>
      <c r="O447" t="s">
        <v>1484</v>
      </c>
      <c r="P447" t="str">
        <f>RIGHT(RIGHT(Table2[[#This Row],[last Updated]],12),4)</f>
        <v xml:space="preserve"> PDT</v>
      </c>
      <c r="Q447" t="s">
        <v>36</v>
      </c>
    </row>
    <row r="448" spans="1:17" x14ac:dyDescent="0.25">
      <c r="A448" t="s">
        <v>56</v>
      </c>
      <c r="B448" t="str">
        <f>UPPER(Table2[[#This Row],[Brand]])</f>
        <v>RALPH LAUREN</v>
      </c>
      <c r="C448" t="str">
        <f>LOWER(Table2[[#This Row],[Brand]])</f>
        <v>ralph lauren</v>
      </c>
      <c r="D448" t="str">
        <f>PROPER(Table2[[#This Row],[Brand]])</f>
        <v>Ralph Lauren</v>
      </c>
      <c r="E448" t="s">
        <v>15</v>
      </c>
      <c r="F448">
        <v>36.99</v>
      </c>
      <c r="G448" t="s">
        <v>517</v>
      </c>
      <c r="H44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$36.99</v>
      </c>
      <c r="I448" t="str">
        <f>LEFT(Table2[[#This Row],[priceWithCurrency]],3)</f>
        <v xml:space="preserve">US </v>
      </c>
      <c r="J448">
        <v>6</v>
      </c>
      <c r="K448" t="str">
        <f>IF(Table2[[#This Row],[Available]]&lt;=50, "Less Stock", "Required stock" )</f>
        <v>Less Stock</v>
      </c>
      <c r="L448">
        <f t="shared" si="6"/>
        <v>1747.5500000000006</v>
      </c>
      <c r="M448" t="s">
        <v>1485</v>
      </c>
      <c r="N448">
        <v>39</v>
      </c>
      <c r="O448" t="s">
        <v>1486</v>
      </c>
      <c r="P448" t="str">
        <f>RIGHT(RIGHT(Table2[[#This Row],[last Updated]],12),4)</f>
        <v xml:space="preserve"> PDT</v>
      </c>
      <c r="Q448" t="s">
        <v>55</v>
      </c>
    </row>
    <row r="449" spans="1:17" x14ac:dyDescent="0.25">
      <c r="A449" t="s">
        <v>1487</v>
      </c>
      <c r="B449" t="str">
        <f>UPPER(Table2[[#This Row],[Brand]])</f>
        <v>GUERLAIN PARIS</v>
      </c>
      <c r="C449" t="str">
        <f>LOWER(Table2[[#This Row],[Brand]])</f>
        <v>guerlain paris</v>
      </c>
      <c r="D449" t="str">
        <f>PROPER(Table2[[#This Row],[Brand]])</f>
        <v>Guerlain Paris</v>
      </c>
      <c r="E449" t="s">
        <v>374</v>
      </c>
      <c r="F449">
        <v>100</v>
      </c>
      <c r="G449" t="s">
        <v>1488</v>
      </c>
      <c r="H44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$100.00</v>
      </c>
      <c r="I449" t="str">
        <f>LEFT(Table2[[#This Row],[priceWithCurrency]],3)</f>
        <v xml:space="preserve">US </v>
      </c>
      <c r="J449">
        <v>3</v>
      </c>
      <c r="K449" t="str">
        <f>IF(Table2[[#This Row],[Available]]&lt;=50, "Less Stock", "Required stock" )</f>
        <v>Less Stock</v>
      </c>
      <c r="L449">
        <f t="shared" si="6"/>
        <v>1660.8600000000006</v>
      </c>
      <c r="M449" t="s">
        <v>1374</v>
      </c>
      <c r="N449">
        <v>1</v>
      </c>
      <c r="O449" t="s">
        <v>1489</v>
      </c>
      <c r="P449" t="str">
        <f>RIGHT(RIGHT(Table2[[#This Row],[last Updated]],12),4)</f>
        <v xml:space="preserve"> PDT</v>
      </c>
      <c r="Q449" t="s">
        <v>1490</v>
      </c>
    </row>
    <row r="450" spans="1:17" x14ac:dyDescent="0.25">
      <c r="A450" t="s">
        <v>71</v>
      </c>
      <c r="B450" t="str">
        <f>UPPER(Table2[[#This Row],[Brand]])</f>
        <v>AS SHOW</v>
      </c>
      <c r="C450" t="str">
        <f>LOWER(Table2[[#This Row],[Brand]])</f>
        <v>as show</v>
      </c>
      <c r="D450" t="str">
        <f>PROPER(Table2[[#This Row],[Brand]])</f>
        <v>As Show</v>
      </c>
      <c r="E450" t="s">
        <v>4</v>
      </c>
      <c r="F450">
        <v>39.99</v>
      </c>
      <c r="G450" t="s">
        <v>96</v>
      </c>
      <c r="H45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$39.99</v>
      </c>
      <c r="I450" t="str">
        <f>LEFT(Table2[[#This Row],[priceWithCurrency]],3)</f>
        <v xml:space="preserve">US </v>
      </c>
      <c r="J450">
        <v>8</v>
      </c>
      <c r="K450" t="str">
        <f>IF(Table2[[#This Row],[Available]]&lt;=50, "Less Stock", "Required stock" )</f>
        <v>Less Stock</v>
      </c>
      <c r="L450">
        <f t="shared" ref="L450:L513" si="7">SUMIF(E450:E530,E494,F494:F1449)</f>
        <v>34.99</v>
      </c>
      <c r="M450" t="s">
        <v>1491</v>
      </c>
      <c r="N450">
        <v>10</v>
      </c>
      <c r="O450" t="s">
        <v>1492</v>
      </c>
      <c r="P450" t="str">
        <f>RIGHT(RIGHT(Table2[[#This Row],[last Updated]],12),4)</f>
        <v xml:space="preserve"> PDT</v>
      </c>
      <c r="Q450" t="s">
        <v>75</v>
      </c>
    </row>
    <row r="451" spans="1:17" x14ac:dyDescent="0.25">
      <c r="A451" t="s">
        <v>335</v>
      </c>
      <c r="B451" t="str">
        <f>UPPER(Table2[[#This Row],[Brand]])</f>
        <v>COLOGNE</v>
      </c>
      <c r="C451" t="str">
        <f>LOWER(Table2[[#This Row],[Brand]])</f>
        <v>cologne</v>
      </c>
      <c r="D451" t="str">
        <f>PROPER(Table2[[#This Row],[Brand]])</f>
        <v>Cologne</v>
      </c>
      <c r="E451" t="s">
        <v>32</v>
      </c>
      <c r="F451">
        <v>88</v>
      </c>
      <c r="G451" t="s">
        <v>1493</v>
      </c>
      <c r="H45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$88.00</v>
      </c>
      <c r="I451" t="str">
        <f>LEFT(Table2[[#This Row],[priceWithCurrency]],3)</f>
        <v xml:space="preserve">US </v>
      </c>
      <c r="J451">
        <v>5</v>
      </c>
      <c r="K451" t="str">
        <f>IF(Table2[[#This Row],[Available]]&lt;=50, "Less Stock", "Required stock" )</f>
        <v>Less Stock</v>
      </c>
      <c r="L451">
        <f t="shared" si="7"/>
        <v>821.83000000000015</v>
      </c>
      <c r="M451" t="s">
        <v>540</v>
      </c>
      <c r="N451">
        <v>5</v>
      </c>
      <c r="O451" t="s">
        <v>1494</v>
      </c>
      <c r="P451" t="str">
        <f>RIGHT(RIGHT(Table2[[#This Row],[last Updated]],12),4)</f>
        <v xml:space="preserve"> PDT</v>
      </c>
      <c r="Q451" t="s">
        <v>1495</v>
      </c>
    </row>
    <row r="452" spans="1:17" x14ac:dyDescent="0.25">
      <c r="A452" t="s">
        <v>1496</v>
      </c>
      <c r="B452" t="str">
        <f>UPPER(Table2[[#This Row],[Brand]])</f>
        <v>AL HARAMAIN</v>
      </c>
      <c r="C452" t="str">
        <f>LOWER(Table2[[#This Row],[Brand]])</f>
        <v>al haramain</v>
      </c>
      <c r="D452" t="str">
        <f>PROPER(Table2[[#This Row],[Brand]])</f>
        <v>Al Haramain</v>
      </c>
      <c r="E452" t="s">
        <v>26</v>
      </c>
      <c r="F452">
        <v>38.53</v>
      </c>
      <c r="G452" t="s">
        <v>886</v>
      </c>
      <c r="H45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$38.53</v>
      </c>
      <c r="I452" t="str">
        <f>LEFT(Table2[[#This Row],[priceWithCurrency]],3)</f>
        <v xml:space="preserve">US </v>
      </c>
      <c r="J452">
        <v>3</v>
      </c>
      <c r="K452" t="str">
        <f>IF(Table2[[#This Row],[Available]]&lt;=50, "Less Stock", "Required stock" )</f>
        <v>Less Stock</v>
      </c>
      <c r="L452">
        <f t="shared" si="7"/>
        <v>850.63000000000011</v>
      </c>
      <c r="M452" t="s">
        <v>1497</v>
      </c>
      <c r="N452">
        <v>12</v>
      </c>
      <c r="O452" t="s">
        <v>1498</v>
      </c>
      <c r="P452" t="str">
        <f>RIGHT(RIGHT(Table2[[#This Row],[last Updated]],12),4)</f>
        <v xml:space="preserve"> PDT</v>
      </c>
      <c r="Q452" t="s">
        <v>30</v>
      </c>
    </row>
    <row r="453" spans="1:17" x14ac:dyDescent="0.25">
      <c r="A453" t="s">
        <v>14</v>
      </c>
      <c r="B453" t="str">
        <f>UPPER(Table2[[#This Row],[Brand]])</f>
        <v>UNBRANDED</v>
      </c>
      <c r="C453" t="str">
        <f>LOWER(Table2[[#This Row],[Brand]])</f>
        <v>unbranded</v>
      </c>
      <c r="D453" t="str">
        <f>PROPER(Table2[[#This Row],[Brand]])</f>
        <v>Unbranded</v>
      </c>
      <c r="E453" t="s">
        <v>4</v>
      </c>
      <c r="F453">
        <v>25.99</v>
      </c>
      <c r="G453" t="s">
        <v>266</v>
      </c>
      <c r="H45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$25.99</v>
      </c>
      <c r="I453" t="str">
        <f>LEFT(Table2[[#This Row],[priceWithCurrency]],3)</f>
        <v xml:space="preserve">US </v>
      </c>
      <c r="J453">
        <v>10</v>
      </c>
      <c r="K453" t="str">
        <f>IF(Table2[[#This Row],[Available]]&lt;=50, "Less Stock", "Required stock" )</f>
        <v>Less Stock</v>
      </c>
      <c r="L453">
        <f t="shared" si="7"/>
        <v>1740.8500000000006</v>
      </c>
      <c r="M453" t="s">
        <v>975</v>
      </c>
      <c r="N453">
        <v>38</v>
      </c>
      <c r="O453" t="s">
        <v>1499</v>
      </c>
      <c r="P453" t="str">
        <f>RIGHT(RIGHT(Table2[[#This Row],[last Updated]],12),4)</f>
        <v xml:space="preserve"> PST</v>
      </c>
      <c r="Q453" t="s">
        <v>1500</v>
      </c>
    </row>
    <row r="454" spans="1:17" x14ac:dyDescent="0.25">
      <c r="A454" t="s">
        <v>195</v>
      </c>
      <c r="B454" t="str">
        <f>UPPER(Table2[[#This Row],[Brand]])</f>
        <v>GIVENCHY</v>
      </c>
      <c r="C454" t="str">
        <f>LOWER(Table2[[#This Row],[Brand]])</f>
        <v>givenchy</v>
      </c>
      <c r="D454" t="str">
        <f>PROPER(Table2[[#This Row],[Brand]])</f>
        <v>Givenchy</v>
      </c>
      <c r="E454" t="s">
        <v>15</v>
      </c>
      <c r="F454">
        <v>39.950000000000003</v>
      </c>
      <c r="G454" t="s">
        <v>359</v>
      </c>
      <c r="H45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$39.95</v>
      </c>
      <c r="I454" t="str">
        <f>LEFT(Table2[[#This Row],[priceWithCurrency]],3)</f>
        <v xml:space="preserve">US </v>
      </c>
      <c r="J454">
        <v>13</v>
      </c>
      <c r="K454" t="str">
        <f>IF(Table2[[#This Row],[Available]]&lt;=50, "Less Stock", "Required stock" )</f>
        <v>Less Stock</v>
      </c>
      <c r="L454">
        <f t="shared" si="7"/>
        <v>1740.8500000000006</v>
      </c>
      <c r="M454" t="s">
        <v>1501</v>
      </c>
      <c r="N454">
        <v>178</v>
      </c>
      <c r="O454" t="s">
        <v>1502</v>
      </c>
      <c r="P454" t="str">
        <f>RIGHT(RIGHT(Table2[[#This Row],[last Updated]],12),4)</f>
        <v xml:space="preserve"> PDT</v>
      </c>
      <c r="Q454" t="s">
        <v>1503</v>
      </c>
    </row>
    <row r="455" spans="1:17" x14ac:dyDescent="0.25">
      <c r="A455" t="s">
        <v>166</v>
      </c>
      <c r="B455" t="str">
        <f>UPPER(Table2[[#This Row],[Brand]])</f>
        <v>MONTBLANC</v>
      </c>
      <c r="C455" t="str">
        <f>LOWER(Table2[[#This Row],[Brand]])</f>
        <v>montblanc</v>
      </c>
      <c r="D455" t="str">
        <f>PROPER(Table2[[#This Row],[Brand]])</f>
        <v>Montblanc</v>
      </c>
      <c r="E455" t="s">
        <v>4</v>
      </c>
      <c r="F455">
        <v>62.08</v>
      </c>
      <c r="G455" t="s">
        <v>1504</v>
      </c>
      <c r="H45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$62.08</v>
      </c>
      <c r="I455" t="str">
        <f>LEFT(Table2[[#This Row],[priceWithCurrency]],3)</f>
        <v xml:space="preserve">US </v>
      </c>
      <c r="K455" t="str">
        <f>IF(Table2[[#This Row],[Available]]&lt;=50, "Less Stock", "Required stock" )</f>
        <v>Less Stock</v>
      </c>
      <c r="L455">
        <f t="shared" si="7"/>
        <v>1736.4300000000005</v>
      </c>
      <c r="M455" t="s">
        <v>1505</v>
      </c>
      <c r="N455">
        <v>950</v>
      </c>
      <c r="O455" t="s">
        <v>1506</v>
      </c>
      <c r="P455" t="str">
        <f>RIGHT(RIGHT(Table2[[#This Row],[last Updated]],12),4)</f>
        <v xml:space="preserve"> PDT</v>
      </c>
      <c r="Q455" t="s">
        <v>108</v>
      </c>
    </row>
    <row r="456" spans="1:17" x14ac:dyDescent="0.25">
      <c r="A456" t="s">
        <v>500</v>
      </c>
      <c r="B456" t="str">
        <f>UPPER(Table2[[#This Row],[Brand]])</f>
        <v>DOSSIER</v>
      </c>
      <c r="C456" t="str">
        <f>LOWER(Table2[[#This Row],[Brand]])</f>
        <v>dossier</v>
      </c>
      <c r="D456" t="str">
        <f>PROPER(Table2[[#This Row],[Brand]])</f>
        <v>Dossier</v>
      </c>
      <c r="E456" t="s">
        <v>4</v>
      </c>
      <c r="F456">
        <v>20</v>
      </c>
      <c r="G456" t="s">
        <v>501</v>
      </c>
      <c r="H45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$20.00</v>
      </c>
      <c r="I456" t="str">
        <f>LEFT(Table2[[#This Row],[priceWithCurrency]],3)</f>
        <v xml:space="preserve">US </v>
      </c>
      <c r="J456">
        <v>10</v>
      </c>
      <c r="K456" t="str">
        <f>IF(Table2[[#This Row],[Available]]&lt;=50, "Less Stock", "Required stock" )</f>
        <v>Less Stock</v>
      </c>
      <c r="L456">
        <f t="shared" si="7"/>
        <v>1736.4300000000005</v>
      </c>
      <c r="M456" t="s">
        <v>474</v>
      </c>
      <c r="N456">
        <v>16</v>
      </c>
      <c r="O456" t="s">
        <v>1507</v>
      </c>
      <c r="P456" t="str">
        <f>RIGHT(RIGHT(Table2[[#This Row],[last Updated]],12),4)</f>
        <v xml:space="preserve"> PDT</v>
      </c>
      <c r="Q456" t="s">
        <v>503</v>
      </c>
    </row>
    <row r="457" spans="1:17" x14ac:dyDescent="0.25">
      <c r="A457" t="s">
        <v>56</v>
      </c>
      <c r="B457" t="str">
        <f>UPPER(Table2[[#This Row],[Brand]])</f>
        <v>RALPH LAUREN</v>
      </c>
      <c r="C457" t="str">
        <f>LOWER(Table2[[#This Row],[Brand]])</f>
        <v>ralph lauren</v>
      </c>
      <c r="D457" t="str">
        <f>PROPER(Table2[[#This Row],[Brand]])</f>
        <v>Ralph Lauren</v>
      </c>
      <c r="E457" t="s">
        <v>4</v>
      </c>
      <c r="F457">
        <v>53.98</v>
      </c>
      <c r="G457" t="s">
        <v>1508</v>
      </c>
      <c r="H45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$53.98</v>
      </c>
      <c r="I457" t="str">
        <f>LEFT(Table2[[#This Row],[priceWithCurrency]],3)</f>
        <v xml:space="preserve">US </v>
      </c>
      <c r="K457" t="str">
        <f>IF(Table2[[#This Row],[Available]]&lt;=50, "Less Stock", "Required stock" )</f>
        <v>Less Stock</v>
      </c>
      <c r="L457">
        <f t="shared" si="7"/>
        <v>1736.4300000000005</v>
      </c>
      <c r="M457" t="s">
        <v>1509</v>
      </c>
      <c r="N457">
        <v>869</v>
      </c>
      <c r="O457" t="s">
        <v>1510</v>
      </c>
      <c r="P457" t="str">
        <f>RIGHT(RIGHT(Table2[[#This Row],[last Updated]],12),4)</f>
        <v xml:space="preserve"> PDT</v>
      </c>
      <c r="Q457" t="s">
        <v>108</v>
      </c>
    </row>
    <row r="458" spans="1:17" x14ac:dyDescent="0.25">
      <c r="A458" t="s">
        <v>20</v>
      </c>
      <c r="B458" t="str">
        <f>UPPER(Table2[[#This Row],[Brand]])</f>
        <v>GIORGIO ARMANI</v>
      </c>
      <c r="C458" t="str">
        <f>LOWER(Table2[[#This Row],[Brand]])</f>
        <v>giorgio armani</v>
      </c>
      <c r="D458" t="str">
        <f>PROPER(Table2[[#This Row],[Brand]])</f>
        <v>Giorgio Armani</v>
      </c>
      <c r="E458" t="s">
        <v>15</v>
      </c>
      <c r="F458">
        <v>51.99</v>
      </c>
      <c r="G458" t="s">
        <v>544</v>
      </c>
      <c r="H45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$51.99</v>
      </c>
      <c r="I458" t="str">
        <f>LEFT(Table2[[#This Row],[priceWithCurrency]],3)</f>
        <v xml:space="preserve">US </v>
      </c>
      <c r="J458">
        <v>8</v>
      </c>
      <c r="K458" t="str">
        <f>IF(Table2[[#This Row],[Available]]&lt;=50, "Less Stock", "Required stock" )</f>
        <v>Less Stock</v>
      </c>
      <c r="L458">
        <f t="shared" si="7"/>
        <v>144.96</v>
      </c>
      <c r="M458" t="s">
        <v>1511</v>
      </c>
      <c r="N458">
        <v>111</v>
      </c>
      <c r="O458" t="s">
        <v>1512</v>
      </c>
      <c r="P458" t="str">
        <f>RIGHT(RIGHT(Table2[[#This Row],[last Updated]],12),4)</f>
        <v xml:space="preserve"> PDT</v>
      </c>
      <c r="Q458" t="s">
        <v>619</v>
      </c>
    </row>
    <row r="459" spans="1:17" x14ac:dyDescent="0.25">
      <c r="A459" t="s">
        <v>586</v>
      </c>
      <c r="B459" t="str">
        <f>UPPER(Table2[[#This Row],[Brand]])</f>
        <v>PARFUMS DE MARLY</v>
      </c>
      <c r="C459" t="str">
        <f>LOWER(Table2[[#This Row],[Brand]])</f>
        <v>parfums de marly</v>
      </c>
      <c r="D459" t="str">
        <f>PROPER(Table2[[#This Row],[Brand]])</f>
        <v>Parfums De Marly</v>
      </c>
      <c r="E459" t="s">
        <v>276</v>
      </c>
      <c r="F459">
        <v>155.65</v>
      </c>
      <c r="G459" t="s">
        <v>1513</v>
      </c>
      <c r="H45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$155.65</v>
      </c>
      <c r="I459" t="str">
        <f>LEFT(Table2[[#This Row],[priceWithCurrency]],3)</f>
        <v xml:space="preserve">US </v>
      </c>
      <c r="J459">
        <v>10</v>
      </c>
      <c r="K459" t="str">
        <f>IF(Table2[[#This Row],[Available]]&lt;=50, "Less Stock", "Required stock" )</f>
        <v>Less Stock</v>
      </c>
      <c r="L459">
        <f t="shared" si="7"/>
        <v>830.79</v>
      </c>
      <c r="M459" t="s">
        <v>1514</v>
      </c>
      <c r="N459">
        <v>593</v>
      </c>
      <c r="O459" t="s">
        <v>1515</v>
      </c>
      <c r="P459" t="str">
        <f>RIGHT(RIGHT(Table2[[#This Row],[last Updated]],12),4)</f>
        <v xml:space="preserve"> PDT</v>
      </c>
      <c r="Q459" t="s">
        <v>226</v>
      </c>
    </row>
    <row r="460" spans="1:17" x14ac:dyDescent="0.25">
      <c r="A460" t="s">
        <v>373</v>
      </c>
      <c r="B460" t="str">
        <f>UPPER(Table2[[#This Row],[Brand]])</f>
        <v>ABERCROMBIE &amp; FITCH</v>
      </c>
      <c r="C460" t="str">
        <f>LOWER(Table2[[#This Row],[Brand]])</f>
        <v>abercrombie &amp; fitch</v>
      </c>
      <c r="D460" t="str">
        <f>PROPER(Table2[[#This Row],[Brand]])</f>
        <v>Abercrombie &amp; Fitch</v>
      </c>
      <c r="E460" t="s">
        <v>374</v>
      </c>
      <c r="F460">
        <v>24.99</v>
      </c>
      <c r="G460" t="s">
        <v>1389</v>
      </c>
      <c r="H46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$24.99</v>
      </c>
      <c r="I460" t="str">
        <f>LEFT(Table2[[#This Row],[priceWithCurrency]],3)</f>
        <v xml:space="preserve">US </v>
      </c>
      <c r="J460">
        <v>10</v>
      </c>
      <c r="K460" t="str">
        <f>IF(Table2[[#This Row],[Available]]&lt;=50, "Less Stock", "Required stock" )</f>
        <v>Less Stock</v>
      </c>
      <c r="L460">
        <f t="shared" si="7"/>
        <v>809.52</v>
      </c>
      <c r="M460" t="s">
        <v>1516</v>
      </c>
      <c r="N460">
        <v>18</v>
      </c>
      <c r="O460" t="s">
        <v>1517</v>
      </c>
      <c r="P460" t="str">
        <f>RIGHT(RIGHT(Table2[[#This Row],[last Updated]],12),4)</f>
        <v xml:space="preserve"> PDT</v>
      </c>
      <c r="Q460" t="s">
        <v>1518</v>
      </c>
    </row>
    <row r="461" spans="1:17" x14ac:dyDescent="0.25">
      <c r="A461" t="s">
        <v>476</v>
      </c>
      <c r="B461" t="str">
        <f>UPPER(Table2[[#This Row],[Brand]])</f>
        <v>HERMÈS</v>
      </c>
      <c r="C461" t="str">
        <f>LOWER(Table2[[#This Row],[Brand]])</f>
        <v>hermès</v>
      </c>
      <c r="D461" t="str">
        <f>PROPER(Table2[[#This Row],[Brand]])</f>
        <v>Hermès</v>
      </c>
      <c r="E461" t="s">
        <v>15</v>
      </c>
      <c r="F461">
        <v>99.98</v>
      </c>
      <c r="G461" t="s">
        <v>1519</v>
      </c>
      <c r="H46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$99.98</v>
      </c>
      <c r="I461" t="str">
        <f>LEFT(Table2[[#This Row],[priceWithCurrency]],3)</f>
        <v xml:space="preserve">US </v>
      </c>
      <c r="J461">
        <v>10</v>
      </c>
      <c r="K461" t="str">
        <f>IF(Table2[[#This Row],[Available]]&lt;=50, "Less Stock", "Required stock" )</f>
        <v>Less Stock</v>
      </c>
      <c r="L461">
        <f t="shared" si="7"/>
        <v>1812.2700000000007</v>
      </c>
      <c r="M461" t="s">
        <v>1520</v>
      </c>
      <c r="N461">
        <v>740</v>
      </c>
      <c r="O461" t="s">
        <v>1521</v>
      </c>
      <c r="P461" t="str">
        <f>RIGHT(RIGHT(Table2[[#This Row],[last Updated]],12),4)</f>
        <v xml:space="preserve"> PDT</v>
      </c>
      <c r="Q461" t="s">
        <v>108</v>
      </c>
    </row>
    <row r="462" spans="1:17" x14ac:dyDescent="0.25">
      <c r="A462" t="s">
        <v>95</v>
      </c>
      <c r="B462" t="str">
        <f>UPPER(Table2[[#This Row],[Brand]])</f>
        <v>CAROLINA HERRERA</v>
      </c>
      <c r="C462" t="str">
        <f>LOWER(Table2[[#This Row],[Brand]])</f>
        <v>carolina herrera</v>
      </c>
      <c r="D462" t="str">
        <f>PROPER(Table2[[#This Row],[Brand]])</f>
        <v>Carolina Herrera</v>
      </c>
      <c r="E462" t="s">
        <v>841</v>
      </c>
      <c r="F462">
        <v>88.65</v>
      </c>
      <c r="G462" t="s">
        <v>1522</v>
      </c>
      <c r="H46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$88.65</v>
      </c>
      <c r="I462" t="str">
        <f>LEFT(Table2[[#This Row],[priceWithCurrency]],3)</f>
        <v xml:space="preserve">US </v>
      </c>
      <c r="J462">
        <v>10</v>
      </c>
      <c r="K462" t="str">
        <f>IF(Table2[[#This Row],[Available]]&lt;=50, "Less Stock", "Required stock" )</f>
        <v>Less Stock</v>
      </c>
      <c r="L462">
        <f t="shared" si="7"/>
        <v>1876.7100000000007</v>
      </c>
      <c r="M462" t="s">
        <v>1437</v>
      </c>
      <c r="N462">
        <v>40</v>
      </c>
      <c r="O462" t="s">
        <v>1523</v>
      </c>
      <c r="P462" t="str">
        <f>RIGHT(RIGHT(Table2[[#This Row],[last Updated]],12),4)</f>
        <v xml:space="preserve"> PDT</v>
      </c>
      <c r="Q462" t="s">
        <v>226</v>
      </c>
    </row>
    <row r="463" spans="1:17" x14ac:dyDescent="0.25">
      <c r="A463" t="s">
        <v>95</v>
      </c>
      <c r="B463" t="str">
        <f>UPPER(Table2[[#This Row],[Brand]])</f>
        <v>CAROLINA HERRERA</v>
      </c>
      <c r="C463" t="str">
        <f>LOWER(Table2[[#This Row],[Brand]])</f>
        <v>carolina herrera</v>
      </c>
      <c r="D463" t="str">
        <f>PROPER(Table2[[#This Row],[Brand]])</f>
        <v>Carolina Herrera</v>
      </c>
      <c r="E463" t="s">
        <v>15</v>
      </c>
      <c r="F463">
        <v>153</v>
      </c>
      <c r="G463" t="s">
        <v>1524</v>
      </c>
      <c r="H46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$153.00</v>
      </c>
      <c r="I463" t="str">
        <f>LEFT(Table2[[#This Row],[priceWithCurrency]],3)</f>
        <v xml:space="preserve">US </v>
      </c>
      <c r="J463">
        <v>10</v>
      </c>
      <c r="K463" t="str">
        <f>IF(Table2[[#This Row],[Available]]&lt;=50, "Less Stock", "Required stock" )</f>
        <v>Less Stock</v>
      </c>
      <c r="L463">
        <f t="shared" si="7"/>
        <v>1876.7100000000007</v>
      </c>
      <c r="M463" t="s">
        <v>1525</v>
      </c>
      <c r="N463">
        <v>23</v>
      </c>
      <c r="O463" t="s">
        <v>1526</v>
      </c>
      <c r="P463" t="str">
        <f>RIGHT(RIGHT(Table2[[#This Row],[last Updated]],12),4)</f>
        <v xml:space="preserve"> PDT</v>
      </c>
      <c r="Q463" t="s">
        <v>997</v>
      </c>
    </row>
    <row r="464" spans="1:17" x14ac:dyDescent="0.25">
      <c r="A464" t="s">
        <v>1527</v>
      </c>
      <c r="B464" t="str">
        <f>UPPER(Table2[[#This Row],[Brand]])</f>
        <v>ROJA PARFUMS</v>
      </c>
      <c r="C464" t="str">
        <f>LOWER(Table2[[#This Row],[Brand]])</f>
        <v>roja parfums</v>
      </c>
      <c r="D464" t="str">
        <f>PROPER(Table2[[#This Row],[Brand]])</f>
        <v>Roja Parfums</v>
      </c>
      <c r="E464" t="s">
        <v>4</v>
      </c>
      <c r="F464">
        <v>79.989999999999995</v>
      </c>
      <c r="G464" t="s">
        <v>407</v>
      </c>
      <c r="H46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$79.99</v>
      </c>
      <c r="I464" t="str">
        <f>LEFT(Table2[[#This Row],[priceWithCurrency]],3)</f>
        <v xml:space="preserve">US </v>
      </c>
      <c r="J464">
        <v>7</v>
      </c>
      <c r="K464" t="str">
        <f>IF(Table2[[#This Row],[Available]]&lt;=50, "Less Stock", "Required stock" )</f>
        <v>Less Stock</v>
      </c>
      <c r="L464">
        <f t="shared" si="7"/>
        <v>172.95000000000002</v>
      </c>
      <c r="M464" t="s">
        <v>1528</v>
      </c>
      <c r="N464">
        <v>13</v>
      </c>
      <c r="O464" t="s">
        <v>1529</v>
      </c>
      <c r="P464" t="str">
        <f>RIGHT(RIGHT(Table2[[#This Row],[last Updated]],12),4)</f>
        <v xml:space="preserve"> PDT</v>
      </c>
      <c r="Q464" t="s">
        <v>568</v>
      </c>
    </row>
    <row r="465" spans="1:17" x14ac:dyDescent="0.25">
      <c r="A465" t="s">
        <v>1530</v>
      </c>
      <c r="B465" t="str">
        <f>UPPER(Table2[[#This Row],[Brand]])</f>
        <v>NARCISO RODRIGUEZ</v>
      </c>
      <c r="C465" t="str">
        <f>LOWER(Table2[[#This Row],[Brand]])</f>
        <v>narciso rodriguez</v>
      </c>
      <c r="D465" t="str">
        <f>PROPER(Table2[[#This Row],[Brand]])</f>
        <v>Narciso Rodriguez</v>
      </c>
      <c r="E465" t="s">
        <v>4</v>
      </c>
      <c r="F465">
        <v>59.09</v>
      </c>
      <c r="G465" t="s">
        <v>1531</v>
      </c>
      <c r="H46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$59.09</v>
      </c>
      <c r="I465" t="str">
        <f>LEFT(Table2[[#This Row],[priceWithCurrency]],3)</f>
        <v xml:space="preserve">US </v>
      </c>
      <c r="J465">
        <v>10</v>
      </c>
      <c r="K465" t="str">
        <f>IF(Table2[[#This Row],[Available]]&lt;=50, "Less Stock", "Required stock" )</f>
        <v>Less Stock</v>
      </c>
      <c r="L465">
        <f t="shared" si="7"/>
        <v>382.49</v>
      </c>
      <c r="M465" t="s">
        <v>1532</v>
      </c>
      <c r="N465">
        <v>432</v>
      </c>
      <c r="O465" t="s">
        <v>1533</v>
      </c>
      <c r="P465" t="str">
        <f>RIGHT(RIGHT(Table2[[#This Row],[last Updated]],12),4)</f>
        <v xml:space="preserve"> PDT</v>
      </c>
      <c r="Q465" t="s">
        <v>108</v>
      </c>
    </row>
    <row r="466" spans="1:17" x14ac:dyDescent="0.25">
      <c r="A466" t="s">
        <v>504</v>
      </c>
      <c r="B466" t="str">
        <f>UPPER(Table2[[#This Row],[Brand]])</f>
        <v>BURBERRY</v>
      </c>
      <c r="C466" t="str">
        <f>LOWER(Table2[[#This Row],[Brand]])</f>
        <v>burberry</v>
      </c>
      <c r="D466" t="str">
        <f>PROPER(Table2[[#This Row],[Brand]])</f>
        <v>Burberry</v>
      </c>
      <c r="E466" t="s">
        <v>15</v>
      </c>
      <c r="F466">
        <v>7.95</v>
      </c>
      <c r="G466" t="s">
        <v>1534</v>
      </c>
      <c r="H46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$7.95</v>
      </c>
      <c r="I466" t="str">
        <f>LEFT(Table2[[#This Row],[priceWithCurrency]],3)</f>
        <v xml:space="preserve">US </v>
      </c>
      <c r="J466">
        <v>5</v>
      </c>
      <c r="K466" t="str">
        <f>IF(Table2[[#This Row],[Available]]&lt;=50, "Less Stock", "Required stock" )</f>
        <v>Less Stock</v>
      </c>
      <c r="L466">
        <f t="shared" si="7"/>
        <v>1826.7200000000007</v>
      </c>
      <c r="M466" t="s">
        <v>1535</v>
      </c>
      <c r="N466">
        <v>254</v>
      </c>
      <c r="O466" t="s">
        <v>1536</v>
      </c>
      <c r="P466" t="str">
        <f>RIGHT(RIGHT(Table2[[#This Row],[last Updated]],12),4)</f>
        <v xml:space="preserve"> PDT</v>
      </c>
      <c r="Q466" t="s">
        <v>894</v>
      </c>
    </row>
    <row r="467" spans="1:17" x14ac:dyDescent="0.25">
      <c r="A467" t="s">
        <v>352</v>
      </c>
      <c r="B467" t="str">
        <f>UPPER(Table2[[#This Row],[Brand]])</f>
        <v>ROJA</v>
      </c>
      <c r="C467" t="str">
        <f>LOWER(Table2[[#This Row],[Brand]])</f>
        <v>roja</v>
      </c>
      <c r="D467" t="str">
        <f>PROPER(Table2[[#This Row],[Brand]])</f>
        <v>Roja</v>
      </c>
      <c r="E467" t="s">
        <v>4</v>
      </c>
      <c r="F467">
        <v>109.99</v>
      </c>
      <c r="G467" t="s">
        <v>381</v>
      </c>
      <c r="H46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$109.99</v>
      </c>
      <c r="I467" t="str">
        <f>LEFT(Table2[[#This Row],[priceWithCurrency]],3)</f>
        <v xml:space="preserve">US </v>
      </c>
      <c r="J467">
        <v>8</v>
      </c>
      <c r="K467" t="str">
        <f>IF(Table2[[#This Row],[Available]]&lt;=50, "Less Stock", "Required stock" )</f>
        <v>Less Stock</v>
      </c>
      <c r="L467">
        <f t="shared" si="7"/>
        <v>382.49</v>
      </c>
      <c r="M467" t="s">
        <v>1537</v>
      </c>
      <c r="N467">
        <v>26</v>
      </c>
      <c r="O467" t="s">
        <v>1538</v>
      </c>
      <c r="P467" t="str">
        <f>RIGHT(RIGHT(Table2[[#This Row],[last Updated]],12),4)</f>
        <v xml:space="preserve"> PDT</v>
      </c>
      <c r="Q467" t="s">
        <v>1539</v>
      </c>
    </row>
    <row r="468" spans="1:17" x14ac:dyDescent="0.25">
      <c r="A468" t="s">
        <v>79</v>
      </c>
      <c r="B468" t="str">
        <f>UPPER(Table2[[#This Row],[Brand]])</f>
        <v>PACO RABANNE</v>
      </c>
      <c r="C468" t="str">
        <f>LOWER(Table2[[#This Row],[Brand]])</f>
        <v>paco rabanne</v>
      </c>
      <c r="D468" t="str">
        <f>PROPER(Table2[[#This Row],[Brand]])</f>
        <v>Paco Rabanne</v>
      </c>
      <c r="E468" t="s">
        <v>26</v>
      </c>
      <c r="F468">
        <v>68.61</v>
      </c>
      <c r="G468" t="s">
        <v>1540</v>
      </c>
      <c r="H46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$68.61</v>
      </c>
      <c r="I468" t="str">
        <f>LEFT(Table2[[#This Row],[priceWithCurrency]],3)</f>
        <v xml:space="preserve">US </v>
      </c>
      <c r="J468">
        <v>3</v>
      </c>
      <c r="K468" t="str">
        <f>IF(Table2[[#This Row],[Available]]&lt;=50, "Less Stock", "Required stock" )</f>
        <v>Less Stock</v>
      </c>
      <c r="L468">
        <f t="shared" si="7"/>
        <v>584.03</v>
      </c>
      <c r="M468" t="s">
        <v>1541</v>
      </c>
      <c r="N468">
        <v>10</v>
      </c>
      <c r="O468" t="s">
        <v>1542</v>
      </c>
      <c r="P468" t="str">
        <f>RIGHT(RIGHT(Table2[[#This Row],[last Updated]],12),4)</f>
        <v xml:space="preserve"> PDT</v>
      </c>
      <c r="Q468" t="s">
        <v>30</v>
      </c>
    </row>
    <row r="469" spans="1:17" x14ac:dyDescent="0.25">
      <c r="A469" t="s">
        <v>554</v>
      </c>
      <c r="B469" t="str">
        <f>UPPER(Table2[[#This Row],[Brand]])</f>
        <v>DAVIDOFF</v>
      </c>
      <c r="C469" t="str">
        <f>LOWER(Table2[[#This Row],[Brand]])</f>
        <v>davidoff</v>
      </c>
      <c r="D469" t="str">
        <f>PROPER(Table2[[#This Row],[Brand]])</f>
        <v>Davidoff</v>
      </c>
      <c r="E469" t="s">
        <v>928</v>
      </c>
      <c r="F469">
        <v>12.49</v>
      </c>
      <c r="G469" t="s">
        <v>1543</v>
      </c>
      <c r="H46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$12.49</v>
      </c>
      <c r="I469" t="str">
        <f>LEFT(Table2[[#This Row],[priceWithCurrency]],3)</f>
        <v xml:space="preserve">US </v>
      </c>
      <c r="J469">
        <v>7</v>
      </c>
      <c r="K469" t="str">
        <f>IF(Table2[[#This Row],[Available]]&lt;=50, "Less Stock", "Required stock" )</f>
        <v>Less Stock</v>
      </c>
      <c r="L469">
        <f t="shared" si="7"/>
        <v>1801.7300000000007</v>
      </c>
      <c r="M469" t="s">
        <v>679</v>
      </c>
      <c r="N469">
        <v>17</v>
      </c>
      <c r="O469" t="s">
        <v>1544</v>
      </c>
      <c r="P469" t="str">
        <f>RIGHT(RIGHT(Table2[[#This Row],[last Updated]],12),4)</f>
        <v xml:space="preserve"> PDT</v>
      </c>
      <c r="Q469" t="s">
        <v>1545</v>
      </c>
    </row>
    <row r="470" spans="1:17" x14ac:dyDescent="0.25">
      <c r="A470" t="s">
        <v>1329</v>
      </c>
      <c r="B470" t="str">
        <f>UPPER(Table2[[#This Row],[Brand]])</f>
        <v>EMPORIO ARMANI</v>
      </c>
      <c r="C470" t="str">
        <f>LOWER(Table2[[#This Row],[Brand]])</f>
        <v>emporio armani</v>
      </c>
      <c r="D470" t="str">
        <f>PROPER(Table2[[#This Row],[Brand]])</f>
        <v>Emporio Armani</v>
      </c>
      <c r="E470" t="s">
        <v>15</v>
      </c>
      <c r="F470">
        <v>71.98</v>
      </c>
      <c r="G470" t="s">
        <v>1281</v>
      </c>
      <c r="H47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$71.98</v>
      </c>
      <c r="I470" t="str">
        <f>LEFT(Table2[[#This Row],[priceWithCurrency]],3)</f>
        <v xml:space="preserve">US </v>
      </c>
      <c r="K470" t="str">
        <f>IF(Table2[[#This Row],[Available]]&lt;=50, "Less Stock", "Required stock" )</f>
        <v>Less Stock</v>
      </c>
      <c r="L470">
        <f t="shared" si="7"/>
        <v>248.94</v>
      </c>
      <c r="M470" t="s">
        <v>1546</v>
      </c>
      <c r="N470">
        <v>1333</v>
      </c>
      <c r="O470" t="s">
        <v>1547</v>
      </c>
      <c r="P470" t="str">
        <f>RIGHT(RIGHT(Table2[[#This Row],[last Updated]],12),4)</f>
        <v xml:space="preserve"> PDT</v>
      </c>
      <c r="Q470" t="s">
        <v>108</v>
      </c>
    </row>
    <row r="471" spans="1:17" x14ac:dyDescent="0.25">
      <c r="A471" t="s">
        <v>270</v>
      </c>
      <c r="B471" t="str">
        <f>UPPER(Table2[[#This Row],[Brand]])</f>
        <v>YVES SAINT LAURENT</v>
      </c>
      <c r="C471" t="str">
        <f>LOWER(Table2[[#This Row],[Brand]])</f>
        <v>yves saint laurent</v>
      </c>
      <c r="D471" t="str">
        <f>PROPER(Table2[[#This Row],[Brand]])</f>
        <v>Yves Saint Laurent</v>
      </c>
      <c r="E471" t="s">
        <v>15</v>
      </c>
      <c r="F471">
        <v>70.650000000000006</v>
      </c>
      <c r="G471" t="s">
        <v>1548</v>
      </c>
      <c r="H47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$70.65</v>
      </c>
      <c r="I471" t="str">
        <f>LEFT(Table2[[#This Row],[priceWithCurrency]],3)</f>
        <v xml:space="preserve">US </v>
      </c>
      <c r="K471" t="str">
        <f>IF(Table2[[#This Row],[Available]]&lt;=50, "Less Stock", "Required stock" )</f>
        <v>Less Stock</v>
      </c>
      <c r="L471">
        <f t="shared" si="7"/>
        <v>1838.6900000000007</v>
      </c>
      <c r="M471" t="s">
        <v>1549</v>
      </c>
      <c r="N471">
        <v>4802</v>
      </c>
      <c r="O471" t="s">
        <v>1550</v>
      </c>
      <c r="P471" t="str">
        <f>RIGHT(RIGHT(Table2[[#This Row],[last Updated]],12),4)</f>
        <v xml:space="preserve"> PDT</v>
      </c>
      <c r="Q471" t="s">
        <v>108</v>
      </c>
    </row>
    <row r="472" spans="1:17" x14ac:dyDescent="0.25">
      <c r="A472" t="s">
        <v>1551</v>
      </c>
      <c r="B472" t="str">
        <f>UPPER(Table2[[#This Row],[Brand]])</f>
        <v>TOPSHELF</v>
      </c>
      <c r="C472" t="str">
        <f>LOWER(Table2[[#This Row],[Brand]])</f>
        <v>topshelf</v>
      </c>
      <c r="D472" t="str">
        <f>PROPER(Table2[[#This Row],[Brand]])</f>
        <v>Topshelf</v>
      </c>
      <c r="E472" t="s">
        <v>32</v>
      </c>
      <c r="F472">
        <v>139.99</v>
      </c>
      <c r="G472" t="s">
        <v>1552</v>
      </c>
      <c r="H47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$139.99</v>
      </c>
      <c r="I472" t="str">
        <f>LEFT(Table2[[#This Row],[priceWithCurrency]],3)</f>
        <v xml:space="preserve">US </v>
      </c>
      <c r="J472">
        <v>10</v>
      </c>
      <c r="K472" t="str">
        <f>IF(Table2[[#This Row],[Available]]&lt;=50, "Less Stock", "Required stock" )</f>
        <v>Less Stock</v>
      </c>
      <c r="L472">
        <f t="shared" si="7"/>
        <v>584.03</v>
      </c>
      <c r="M472" t="s">
        <v>1180</v>
      </c>
      <c r="N472">
        <v>4</v>
      </c>
      <c r="O472" t="s">
        <v>1553</v>
      </c>
      <c r="P472" t="str">
        <f>RIGHT(RIGHT(Table2[[#This Row],[last Updated]],12),4)</f>
        <v xml:space="preserve"> PDT</v>
      </c>
      <c r="Q472" t="s">
        <v>36</v>
      </c>
    </row>
    <row r="473" spans="1:17" x14ac:dyDescent="0.25">
      <c r="A473" t="s">
        <v>95</v>
      </c>
      <c r="B473" t="str">
        <f>UPPER(Table2[[#This Row],[Brand]])</f>
        <v>CAROLINA HERRERA</v>
      </c>
      <c r="C473" t="str">
        <f>LOWER(Table2[[#This Row],[Brand]])</f>
        <v>carolina herrera</v>
      </c>
      <c r="D473" t="str">
        <f>PROPER(Table2[[#This Row],[Brand]])</f>
        <v>Carolina Herrera</v>
      </c>
      <c r="E473" t="s">
        <v>15</v>
      </c>
      <c r="F473">
        <v>39.99</v>
      </c>
      <c r="G473" t="s">
        <v>96</v>
      </c>
      <c r="H47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$39.99</v>
      </c>
      <c r="I473" t="str">
        <f>LEFT(Table2[[#This Row],[priceWithCurrency]],3)</f>
        <v xml:space="preserve">US </v>
      </c>
      <c r="J473">
        <v>10</v>
      </c>
      <c r="K473" t="str">
        <f>IF(Table2[[#This Row],[Available]]&lt;=50, "Less Stock", "Required stock" )</f>
        <v>Less Stock</v>
      </c>
      <c r="L473">
        <f t="shared" si="7"/>
        <v>1855.6800000000007</v>
      </c>
      <c r="M473" t="s">
        <v>924</v>
      </c>
      <c r="N473">
        <v>52</v>
      </c>
      <c r="O473" t="s">
        <v>1554</v>
      </c>
      <c r="P473" t="str">
        <f>RIGHT(RIGHT(Table2[[#This Row],[last Updated]],12),4)</f>
        <v xml:space="preserve"> PDT</v>
      </c>
      <c r="Q473" t="s">
        <v>155</v>
      </c>
    </row>
    <row r="474" spans="1:17" x14ac:dyDescent="0.25">
      <c r="A474" t="s">
        <v>543</v>
      </c>
      <c r="B474" t="str">
        <f>UPPER(Table2[[#This Row],[Brand]])</f>
        <v>JEAN PAUL GAULTIER</v>
      </c>
      <c r="C474" t="str">
        <f>LOWER(Table2[[#This Row],[Brand]])</f>
        <v>jean paul gaultier</v>
      </c>
      <c r="D474" t="str">
        <f>PROPER(Table2[[#This Row],[Brand]])</f>
        <v>Jean Paul Gaultier</v>
      </c>
      <c r="E474" t="s">
        <v>15</v>
      </c>
      <c r="F474">
        <v>48.99</v>
      </c>
      <c r="G474" t="s">
        <v>1555</v>
      </c>
      <c r="H47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$48.99</v>
      </c>
      <c r="I474" t="str">
        <f>LEFT(Table2[[#This Row],[priceWithCurrency]],3)</f>
        <v xml:space="preserve">US </v>
      </c>
      <c r="J474">
        <v>10</v>
      </c>
      <c r="K474" t="str">
        <f>IF(Table2[[#This Row],[Available]]&lt;=50, "Less Stock", "Required stock" )</f>
        <v>Less Stock</v>
      </c>
      <c r="L474">
        <f t="shared" si="7"/>
        <v>1854.6900000000007</v>
      </c>
      <c r="M474" t="s">
        <v>354</v>
      </c>
      <c r="N474">
        <v>30</v>
      </c>
      <c r="O474" t="s">
        <v>1556</v>
      </c>
      <c r="P474" t="str">
        <f>RIGHT(RIGHT(Table2[[#This Row],[last Updated]],12),4)</f>
        <v xml:space="preserve"> PDT</v>
      </c>
      <c r="Q474" t="s">
        <v>406</v>
      </c>
    </row>
    <row r="475" spans="1:17" x14ac:dyDescent="0.25">
      <c r="A475" t="s">
        <v>208</v>
      </c>
      <c r="B475" t="str">
        <f>UPPER(Table2[[#This Row],[Brand]])</f>
        <v>POLO RALPH LAUREN</v>
      </c>
      <c r="C475" t="str">
        <f>LOWER(Table2[[#This Row],[Brand]])</f>
        <v>polo ralph lauren</v>
      </c>
      <c r="D475" t="str">
        <f>PROPER(Table2[[#This Row],[Brand]])</f>
        <v>Polo Ralph Lauren</v>
      </c>
      <c r="E475" t="s">
        <v>15</v>
      </c>
      <c r="F475">
        <v>33.99</v>
      </c>
      <c r="G475" t="s">
        <v>1185</v>
      </c>
      <c r="H47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$33.99</v>
      </c>
      <c r="I475" t="str">
        <f>LEFT(Table2[[#This Row],[priceWithCurrency]],3)</f>
        <v xml:space="preserve">US </v>
      </c>
      <c r="J475">
        <v>8</v>
      </c>
      <c r="K475" t="str">
        <f>IF(Table2[[#This Row],[Available]]&lt;=50, "Less Stock", "Required stock" )</f>
        <v>Less Stock</v>
      </c>
      <c r="L475">
        <f t="shared" si="7"/>
        <v>1814.7000000000007</v>
      </c>
      <c r="M475" t="s">
        <v>1557</v>
      </c>
      <c r="N475">
        <v>89</v>
      </c>
      <c r="O475" t="s">
        <v>1558</v>
      </c>
      <c r="P475" t="str">
        <f>RIGHT(RIGHT(Table2[[#This Row],[last Updated]],12),4)</f>
        <v xml:space="preserve"> PDT</v>
      </c>
      <c r="Q475" t="s">
        <v>1559</v>
      </c>
    </row>
    <row r="476" spans="1:17" x14ac:dyDescent="0.25">
      <c r="A476" t="s">
        <v>76</v>
      </c>
      <c r="B476" t="str">
        <f>UPPER(Table2[[#This Row],[Brand]])</f>
        <v>VERSACE</v>
      </c>
      <c r="C476" t="str">
        <f>LOWER(Table2[[#This Row],[Brand]])</f>
        <v>versace</v>
      </c>
      <c r="D476" t="str">
        <f>PROPER(Table2[[#This Row],[Brand]])</f>
        <v>Versace</v>
      </c>
      <c r="E476" t="s">
        <v>15</v>
      </c>
      <c r="F476">
        <v>66.39</v>
      </c>
      <c r="G476" t="s">
        <v>1560</v>
      </c>
      <c r="H47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$66.39</v>
      </c>
      <c r="I476" t="str">
        <f>LEFT(Table2[[#This Row],[priceWithCurrency]],3)</f>
        <v xml:space="preserve">US </v>
      </c>
      <c r="J476">
        <v>62</v>
      </c>
      <c r="K476" t="str">
        <f>IF(Table2[[#This Row],[Available]]&lt;=50, "Less Stock", "Required stock" )</f>
        <v>Required stock</v>
      </c>
      <c r="L476">
        <f t="shared" si="7"/>
        <v>1809.7900000000006</v>
      </c>
      <c r="M476" t="s">
        <v>1561</v>
      </c>
      <c r="N476">
        <v>1819</v>
      </c>
      <c r="O476" t="s">
        <v>1562</v>
      </c>
      <c r="P476" t="str">
        <f>RIGHT(RIGHT(Table2[[#This Row],[last Updated]],12),4)</f>
        <v xml:space="preserve"> PDT</v>
      </c>
      <c r="Q476" t="s">
        <v>121</v>
      </c>
    </row>
    <row r="477" spans="1:17" x14ac:dyDescent="0.25">
      <c r="A477" t="s">
        <v>554</v>
      </c>
      <c r="B477" t="str">
        <f>UPPER(Table2[[#This Row],[Brand]])</f>
        <v>DAVIDOFF</v>
      </c>
      <c r="C477" t="str">
        <f>LOWER(Table2[[#This Row],[Brand]])</f>
        <v>davidoff</v>
      </c>
      <c r="D477" t="str">
        <f>PROPER(Table2[[#This Row],[Brand]])</f>
        <v>Davidoff</v>
      </c>
      <c r="E477" t="s">
        <v>15</v>
      </c>
      <c r="F477">
        <v>26.9</v>
      </c>
      <c r="G477" t="s">
        <v>1563</v>
      </c>
      <c r="H47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$26.90</v>
      </c>
      <c r="I477" t="str">
        <f>LEFT(Table2[[#This Row],[priceWithCurrency]],3)</f>
        <v xml:space="preserve">US </v>
      </c>
      <c r="J477">
        <v>10</v>
      </c>
      <c r="K477" t="str">
        <f>IF(Table2[[#This Row],[Available]]&lt;=50, "Less Stock", "Required stock" )</f>
        <v>Less Stock</v>
      </c>
      <c r="L477">
        <f t="shared" si="7"/>
        <v>413.44</v>
      </c>
      <c r="M477" t="s">
        <v>1564</v>
      </c>
      <c r="N477">
        <v>264</v>
      </c>
      <c r="O477" t="s">
        <v>1565</v>
      </c>
      <c r="P477" t="str">
        <f>RIGHT(RIGHT(Table2[[#This Row],[last Updated]],12),4)</f>
        <v xml:space="preserve"> PDT</v>
      </c>
      <c r="Q477" t="s">
        <v>1566</v>
      </c>
    </row>
    <row r="478" spans="1:17" x14ac:dyDescent="0.25">
      <c r="A478" t="s">
        <v>79</v>
      </c>
      <c r="B478" t="str">
        <f>UPPER(Table2[[#This Row],[Brand]])</f>
        <v>PACO RABANNE</v>
      </c>
      <c r="C478" t="str">
        <f>LOWER(Table2[[#This Row],[Brand]])</f>
        <v>paco rabanne</v>
      </c>
      <c r="D478" t="str">
        <f>PROPER(Table2[[#This Row],[Brand]])</f>
        <v>Paco Rabanne</v>
      </c>
      <c r="E478" t="s">
        <v>15</v>
      </c>
      <c r="F478">
        <v>16.48</v>
      </c>
      <c r="G478" t="s">
        <v>1567</v>
      </c>
      <c r="H47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$16.48</v>
      </c>
      <c r="I478" t="str">
        <f>LEFT(Table2[[#This Row],[priceWithCurrency]],3)</f>
        <v xml:space="preserve">US </v>
      </c>
      <c r="J478">
        <v>10</v>
      </c>
      <c r="K478" t="str">
        <f>IF(Table2[[#This Row],[Available]]&lt;=50, "Less Stock", "Required stock" )</f>
        <v>Less Stock</v>
      </c>
      <c r="L478">
        <f t="shared" si="7"/>
        <v>584.03</v>
      </c>
      <c r="M478" t="s">
        <v>474</v>
      </c>
      <c r="N478">
        <v>16</v>
      </c>
      <c r="O478" t="s">
        <v>1568</v>
      </c>
      <c r="P478" t="str">
        <f>RIGHT(RIGHT(Table2[[#This Row],[last Updated]],12),4)</f>
        <v xml:space="preserve"> PDT</v>
      </c>
      <c r="Q478" t="s">
        <v>1230</v>
      </c>
    </row>
    <row r="479" spans="1:17" x14ac:dyDescent="0.25">
      <c r="A479" t="s">
        <v>90</v>
      </c>
      <c r="B479" t="str">
        <f>UPPER(Table2[[#This Row],[Brand]])</f>
        <v>ARMAF</v>
      </c>
      <c r="C479" t="str">
        <f>LOWER(Table2[[#This Row],[Brand]])</f>
        <v>armaf</v>
      </c>
      <c r="D479" t="str">
        <f>PROPER(Table2[[#This Row],[Brand]])</f>
        <v>Armaf</v>
      </c>
      <c r="E479" t="s">
        <v>4</v>
      </c>
      <c r="F479">
        <v>65</v>
      </c>
      <c r="G479" t="s">
        <v>1569</v>
      </c>
      <c r="H47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$65.00</v>
      </c>
      <c r="I479" t="str">
        <f>LEFT(Table2[[#This Row],[priceWithCurrency]],3)</f>
        <v xml:space="preserve">US </v>
      </c>
      <c r="J479">
        <v>10</v>
      </c>
      <c r="K479" t="str">
        <f>IF(Table2[[#This Row],[Available]]&lt;=50, "Less Stock", "Required stock" )</f>
        <v>Less Stock</v>
      </c>
      <c r="L479">
        <f t="shared" si="7"/>
        <v>1846.4400000000007</v>
      </c>
      <c r="M479" t="s">
        <v>1570</v>
      </c>
      <c r="N479">
        <v>485</v>
      </c>
      <c r="O479" t="s">
        <v>1571</v>
      </c>
      <c r="P479" t="str">
        <f>RIGHT(RIGHT(Table2[[#This Row],[last Updated]],12),4)</f>
        <v xml:space="preserve"> PDT</v>
      </c>
      <c r="Q479" t="s">
        <v>36</v>
      </c>
    </row>
    <row r="480" spans="1:17" x14ac:dyDescent="0.25">
      <c r="A480" t="s">
        <v>95</v>
      </c>
      <c r="B480" t="str">
        <f>UPPER(Table2[[#This Row],[Brand]])</f>
        <v>CAROLINA HERRERA</v>
      </c>
      <c r="C480" t="str">
        <f>LOWER(Table2[[#This Row],[Brand]])</f>
        <v>carolina herrera</v>
      </c>
      <c r="D480" t="str">
        <f>PROPER(Table2[[#This Row],[Brand]])</f>
        <v>Carolina Herrera</v>
      </c>
      <c r="E480" t="s">
        <v>15</v>
      </c>
      <c r="F480">
        <v>39.99</v>
      </c>
      <c r="G480" t="s">
        <v>96</v>
      </c>
      <c r="H48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$39.99</v>
      </c>
      <c r="I480" t="str">
        <f>LEFT(Table2[[#This Row],[priceWithCurrency]],3)</f>
        <v xml:space="preserve">US </v>
      </c>
      <c r="J480">
        <v>10</v>
      </c>
      <c r="K480" t="str">
        <f>IF(Table2[[#This Row],[Available]]&lt;=50, "Less Stock", "Required stock" )</f>
        <v>Less Stock</v>
      </c>
      <c r="L480">
        <f t="shared" si="7"/>
        <v>1846.4400000000007</v>
      </c>
      <c r="M480" t="s">
        <v>1110</v>
      </c>
      <c r="N480">
        <v>19</v>
      </c>
      <c r="O480" t="s">
        <v>1572</v>
      </c>
      <c r="P480" t="str">
        <f>RIGHT(RIGHT(Table2[[#This Row],[last Updated]],12),4)</f>
        <v xml:space="preserve"> PDT</v>
      </c>
      <c r="Q480" t="s">
        <v>406</v>
      </c>
    </row>
    <row r="481" spans="1:17" x14ac:dyDescent="0.25">
      <c r="A481" t="s">
        <v>1291</v>
      </c>
      <c r="B481" t="str">
        <f>UPPER(Table2[[#This Row],[Brand]])</f>
        <v>MYRURGIA</v>
      </c>
      <c r="C481" t="str">
        <f>LOWER(Table2[[#This Row],[Brand]])</f>
        <v>myrurgia</v>
      </c>
      <c r="D481" t="str">
        <f>PROPER(Table2[[#This Row],[Brand]])</f>
        <v>Myrurgia</v>
      </c>
      <c r="E481" t="s">
        <v>15</v>
      </c>
      <c r="F481">
        <v>9.2100000000000009</v>
      </c>
      <c r="G481" t="s">
        <v>1573</v>
      </c>
      <c r="H48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$9.21</v>
      </c>
      <c r="I481" t="str">
        <f>LEFT(Table2[[#This Row],[priceWithCurrency]],3)</f>
        <v xml:space="preserve">US </v>
      </c>
      <c r="J481">
        <v>202</v>
      </c>
      <c r="K481" t="str">
        <f>IF(Table2[[#This Row],[Available]]&lt;=50, "Less Stock", "Required stock" )</f>
        <v>Required stock</v>
      </c>
      <c r="L481">
        <f t="shared" si="7"/>
        <v>1867.0400000000006</v>
      </c>
      <c r="M481" t="s">
        <v>1574</v>
      </c>
      <c r="N481">
        <v>3093</v>
      </c>
      <c r="O481" t="s">
        <v>1575</v>
      </c>
      <c r="P481" t="str">
        <f>RIGHT(RIGHT(Table2[[#This Row],[last Updated]],12),4)</f>
        <v xml:space="preserve"> PDT</v>
      </c>
      <c r="Q481" t="s">
        <v>121</v>
      </c>
    </row>
    <row r="482" spans="1:17" x14ac:dyDescent="0.25">
      <c r="A482" t="s">
        <v>1576</v>
      </c>
      <c r="B482" t="str">
        <f>UPPER(Table2[[#This Row],[Brand]])</f>
        <v>BRUT</v>
      </c>
      <c r="C482" t="str">
        <f>LOWER(Table2[[#This Row],[Brand]])</f>
        <v>brut</v>
      </c>
      <c r="D482" t="str">
        <f>PROPER(Table2[[#This Row],[Brand]])</f>
        <v>Brut</v>
      </c>
      <c r="E482" t="s">
        <v>15</v>
      </c>
      <c r="F482">
        <v>13.89</v>
      </c>
      <c r="G482" t="s">
        <v>891</v>
      </c>
      <c r="H48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$13.89</v>
      </c>
      <c r="I482" t="str">
        <f>LEFT(Table2[[#This Row],[priceWithCurrency]],3)</f>
        <v xml:space="preserve">US </v>
      </c>
      <c r="J482">
        <v>9</v>
      </c>
      <c r="K482" t="str">
        <f>IF(Table2[[#This Row],[Available]]&lt;=50, "Less Stock", "Required stock" )</f>
        <v>Less Stock</v>
      </c>
      <c r="L482">
        <f t="shared" si="7"/>
        <v>1837.0500000000006</v>
      </c>
      <c r="M482" t="s">
        <v>1577</v>
      </c>
      <c r="N482">
        <v>48</v>
      </c>
      <c r="O482" t="s">
        <v>1315</v>
      </c>
      <c r="P482" t="str">
        <f>RIGHT(RIGHT(Table2[[#This Row],[last Updated]],12),4)</f>
        <v xml:space="preserve"> PDT</v>
      </c>
      <c r="Q482" t="s">
        <v>108</v>
      </c>
    </row>
    <row r="483" spans="1:17" x14ac:dyDescent="0.25">
      <c r="A483" t="s">
        <v>90</v>
      </c>
      <c r="B483" t="str">
        <f>UPPER(Table2[[#This Row],[Brand]])</f>
        <v>ARMAF</v>
      </c>
      <c r="C483" t="str">
        <f>LOWER(Table2[[#This Row],[Brand]])</f>
        <v>armaf</v>
      </c>
      <c r="D483" t="str">
        <f>PROPER(Table2[[#This Row],[Brand]])</f>
        <v>Armaf</v>
      </c>
      <c r="E483" t="s">
        <v>4</v>
      </c>
      <c r="F483">
        <v>45</v>
      </c>
      <c r="G483" t="s">
        <v>1264</v>
      </c>
      <c r="H48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$45.00</v>
      </c>
      <c r="I483" t="str">
        <f>LEFT(Table2[[#This Row],[priceWithCurrency]],3)</f>
        <v xml:space="preserve">US </v>
      </c>
      <c r="J483">
        <v>10</v>
      </c>
      <c r="K483" t="str">
        <f>IF(Table2[[#This Row],[Available]]&lt;=50, "Less Stock", "Required stock" )</f>
        <v>Less Stock</v>
      </c>
      <c r="L483">
        <f t="shared" si="7"/>
        <v>1805.0600000000006</v>
      </c>
      <c r="M483" t="s">
        <v>1578</v>
      </c>
      <c r="N483">
        <v>150</v>
      </c>
      <c r="O483" t="s">
        <v>1579</v>
      </c>
      <c r="P483" t="str">
        <f>RIGHT(RIGHT(Table2[[#This Row],[last Updated]],12),4)</f>
        <v xml:space="preserve"> PDT</v>
      </c>
      <c r="Q483" t="s">
        <v>1267</v>
      </c>
    </row>
    <row r="484" spans="1:17" x14ac:dyDescent="0.25">
      <c r="A484" t="s">
        <v>180</v>
      </c>
      <c r="B484" t="str">
        <f>UPPER(Table2[[#This Row],[Brand]])</f>
        <v>CALVIN KLEIN</v>
      </c>
      <c r="C484" t="str">
        <f>LOWER(Table2[[#This Row],[Brand]])</f>
        <v>calvin klein</v>
      </c>
      <c r="D484" t="str">
        <f>PROPER(Table2[[#This Row],[Brand]])</f>
        <v>Calvin Klein</v>
      </c>
      <c r="E484" t="s">
        <v>15</v>
      </c>
      <c r="F484">
        <v>21.95</v>
      </c>
      <c r="G484" t="s">
        <v>790</v>
      </c>
      <c r="H48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$21.95</v>
      </c>
      <c r="I484" t="str">
        <f>LEFT(Table2[[#This Row],[priceWithCurrency]],3)</f>
        <v xml:space="preserve">US </v>
      </c>
      <c r="J484">
        <v>3</v>
      </c>
      <c r="K484" t="str">
        <f>IF(Table2[[#This Row],[Available]]&lt;=50, "Less Stock", "Required stock" )</f>
        <v>Less Stock</v>
      </c>
      <c r="L484">
        <f t="shared" si="7"/>
        <v>1824.9500000000007</v>
      </c>
      <c r="M484" t="s">
        <v>1580</v>
      </c>
      <c r="N484">
        <v>189</v>
      </c>
      <c r="O484" t="s">
        <v>1581</v>
      </c>
      <c r="P484" t="str">
        <f>RIGHT(RIGHT(Table2[[#This Row],[last Updated]],12),4)</f>
        <v xml:space="preserve"> PDT</v>
      </c>
      <c r="Q484" t="s">
        <v>480</v>
      </c>
    </row>
    <row r="485" spans="1:17" x14ac:dyDescent="0.25">
      <c r="A485" t="s">
        <v>143</v>
      </c>
      <c r="B485" t="str">
        <f>UPPER(Table2[[#This Row],[Brand]])</f>
        <v>PENHALIGON'S</v>
      </c>
      <c r="C485" t="str">
        <f>LOWER(Table2[[#This Row],[Brand]])</f>
        <v>penhaligon's</v>
      </c>
      <c r="D485" t="str">
        <f>PROPER(Table2[[#This Row],[Brand]])</f>
        <v>Penhaligon'S</v>
      </c>
      <c r="E485" t="s">
        <v>4</v>
      </c>
      <c r="F485">
        <v>71.989999999999995</v>
      </c>
      <c r="G485" t="s">
        <v>1582</v>
      </c>
      <c r="H48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$71.99</v>
      </c>
      <c r="I485" t="str">
        <f>LEFT(Table2[[#This Row],[priceWithCurrency]],3)</f>
        <v xml:space="preserve">US </v>
      </c>
      <c r="J485">
        <v>5</v>
      </c>
      <c r="K485" t="str">
        <f>IF(Table2[[#This Row],[Available]]&lt;=50, "Less Stock", "Required stock" )</f>
        <v>Less Stock</v>
      </c>
      <c r="L485">
        <f t="shared" si="7"/>
        <v>1776.0000000000007</v>
      </c>
      <c r="M485" t="s">
        <v>1583</v>
      </c>
      <c r="N485">
        <v>3</v>
      </c>
      <c r="O485" t="s">
        <v>1584</v>
      </c>
      <c r="P485" t="str">
        <f>RIGHT(RIGHT(Table2[[#This Row],[last Updated]],12),4)</f>
        <v xml:space="preserve"> PDT</v>
      </c>
      <c r="Q485" t="s">
        <v>1585</v>
      </c>
    </row>
    <row r="486" spans="1:17" x14ac:dyDescent="0.25">
      <c r="A486" t="s">
        <v>1586</v>
      </c>
      <c r="B486" t="str">
        <f>UPPER(Table2[[#This Row],[Brand]])</f>
        <v>ED HARDY</v>
      </c>
      <c r="C486" t="str">
        <f>LOWER(Table2[[#This Row],[Brand]])</f>
        <v>ed hardy</v>
      </c>
      <c r="D486" t="str">
        <f>PROPER(Table2[[#This Row],[Brand]])</f>
        <v>Ed Hardy</v>
      </c>
      <c r="E486" t="s">
        <v>15</v>
      </c>
      <c r="F486">
        <v>20.25</v>
      </c>
      <c r="G486" t="s">
        <v>1587</v>
      </c>
      <c r="H48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$20.25</v>
      </c>
      <c r="I486" t="str">
        <f>LEFT(Table2[[#This Row],[priceWithCurrency]],3)</f>
        <v xml:space="preserve">US </v>
      </c>
      <c r="J486">
        <v>311</v>
      </c>
      <c r="K486" t="str">
        <f>IF(Table2[[#This Row],[Available]]&lt;=50, "Less Stock", "Required stock" )</f>
        <v>Required stock</v>
      </c>
      <c r="L486">
        <f t="shared" si="7"/>
        <v>459.27000000000004</v>
      </c>
      <c r="M486" t="s">
        <v>1588</v>
      </c>
      <c r="N486">
        <v>6633</v>
      </c>
      <c r="O486" t="s">
        <v>1589</v>
      </c>
      <c r="P486" t="str">
        <f>RIGHT(RIGHT(Table2[[#This Row],[last Updated]],12),4)</f>
        <v xml:space="preserve"> PDT</v>
      </c>
      <c r="Q486" t="s">
        <v>121</v>
      </c>
    </row>
    <row r="487" spans="1:17" x14ac:dyDescent="0.25">
      <c r="A487" t="s">
        <v>79</v>
      </c>
      <c r="B487" t="str">
        <f>UPPER(Table2[[#This Row],[Brand]])</f>
        <v>PACO RABANNE</v>
      </c>
      <c r="C487" t="str">
        <f>LOWER(Table2[[#This Row],[Brand]])</f>
        <v>paco rabanne</v>
      </c>
      <c r="D487" t="str">
        <f>PROPER(Table2[[#This Row],[Brand]])</f>
        <v>Paco Rabanne</v>
      </c>
      <c r="E487" t="s">
        <v>15</v>
      </c>
      <c r="F487">
        <v>17.98</v>
      </c>
      <c r="G487" t="s">
        <v>1227</v>
      </c>
      <c r="H48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$17.98</v>
      </c>
      <c r="I487" t="str">
        <f>LEFT(Table2[[#This Row],[priceWithCurrency]],3)</f>
        <v xml:space="preserve">US </v>
      </c>
      <c r="J487">
        <v>10</v>
      </c>
      <c r="K487" t="str">
        <f>IF(Table2[[#This Row],[Available]]&lt;=50, "Less Stock", "Required stock" )</f>
        <v>Less Stock</v>
      </c>
      <c r="L487">
        <f t="shared" si="7"/>
        <v>1748.7500000000007</v>
      </c>
      <c r="M487" t="s">
        <v>1180</v>
      </c>
      <c r="N487">
        <v>4</v>
      </c>
      <c r="O487" t="s">
        <v>1590</v>
      </c>
      <c r="P487" t="str">
        <f>RIGHT(RIGHT(Table2[[#This Row],[last Updated]],12),4)</f>
        <v xml:space="preserve"> PDT</v>
      </c>
      <c r="Q487" t="s">
        <v>1230</v>
      </c>
    </row>
    <row r="488" spans="1:17" x14ac:dyDescent="0.25">
      <c r="A488" t="s">
        <v>253</v>
      </c>
      <c r="B488" t="str">
        <f>UPPER(Table2[[#This Row],[Brand]])</f>
        <v>TOMMY HILFIGER</v>
      </c>
      <c r="C488" t="str">
        <f>LOWER(Table2[[#This Row],[Brand]])</f>
        <v>tommy hilfiger</v>
      </c>
      <c r="D488" t="str">
        <f>PROPER(Table2[[#This Row],[Brand]])</f>
        <v>Tommy Hilfiger</v>
      </c>
      <c r="E488" t="s">
        <v>15</v>
      </c>
      <c r="F488">
        <v>9.9499999999999993</v>
      </c>
      <c r="G488" t="s">
        <v>1591</v>
      </c>
      <c r="H48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$9.95</v>
      </c>
      <c r="I488" t="str">
        <f>LEFT(Table2[[#This Row],[priceWithCurrency]],3)</f>
        <v xml:space="preserve">US </v>
      </c>
      <c r="J488">
        <v>5</v>
      </c>
      <c r="K488" t="str">
        <f>IF(Table2[[#This Row],[Available]]&lt;=50, "Less Stock", "Required stock" )</f>
        <v>Less Stock</v>
      </c>
      <c r="L488">
        <f t="shared" si="7"/>
        <v>518.22</v>
      </c>
      <c r="M488" t="s">
        <v>1592</v>
      </c>
      <c r="N488">
        <v>269</v>
      </c>
      <c r="O488" t="s">
        <v>1593</v>
      </c>
      <c r="P488" t="str">
        <f>RIGHT(RIGHT(Table2[[#This Row],[last Updated]],12),4)</f>
        <v xml:space="preserve"> PDT</v>
      </c>
      <c r="Q488" t="s">
        <v>1594</v>
      </c>
    </row>
    <row r="489" spans="1:17" x14ac:dyDescent="0.25">
      <c r="A489" t="s">
        <v>1595</v>
      </c>
      <c r="B489" t="str">
        <f>UPPER(Table2[[#This Row],[Brand]])</f>
        <v>HOLLISTER</v>
      </c>
      <c r="C489" t="str">
        <f>LOWER(Table2[[#This Row],[Brand]])</f>
        <v>hollister</v>
      </c>
      <c r="D489" t="str">
        <f>PROPER(Table2[[#This Row],[Brand]])</f>
        <v>Hollister</v>
      </c>
      <c r="E489" t="s">
        <v>374</v>
      </c>
      <c r="F489">
        <v>28.97</v>
      </c>
      <c r="G489" t="s">
        <v>1596</v>
      </c>
      <c r="H48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$28.97</v>
      </c>
      <c r="I489" t="str">
        <f>LEFT(Table2[[#This Row],[priceWithCurrency]],3)</f>
        <v xml:space="preserve">US </v>
      </c>
      <c r="J489">
        <v>9</v>
      </c>
      <c r="K489" t="str">
        <f>IF(Table2[[#This Row],[Available]]&lt;=50, "Less Stock", "Required stock" )</f>
        <v>Less Stock</v>
      </c>
      <c r="L489">
        <f t="shared" si="7"/>
        <v>74.25</v>
      </c>
      <c r="M489" t="s">
        <v>786</v>
      </c>
      <c r="N489">
        <v>12</v>
      </c>
      <c r="P489" t="str">
        <f>RIGHT(RIGHT(Table2[[#This Row],[last Updated]],12),4)</f>
        <v/>
      </c>
      <c r="Q489" t="s">
        <v>669</v>
      </c>
    </row>
    <row r="490" spans="1:17" x14ac:dyDescent="0.25">
      <c r="A490" t="s">
        <v>623</v>
      </c>
      <c r="B490" t="str">
        <f>UPPER(Table2[[#This Row],[Brand]])</f>
        <v>J. DEL POZO</v>
      </c>
      <c r="C490" t="str">
        <f>LOWER(Table2[[#This Row],[Brand]])</f>
        <v>j. del pozo</v>
      </c>
      <c r="D490" t="str">
        <f>PROPER(Table2[[#This Row],[Brand]])</f>
        <v>J. Del Pozo</v>
      </c>
      <c r="E490" t="s">
        <v>15</v>
      </c>
      <c r="F490">
        <v>28.11</v>
      </c>
      <c r="G490" t="s">
        <v>1597</v>
      </c>
      <c r="H49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$28.11</v>
      </c>
      <c r="I490" t="str">
        <f>LEFT(Table2[[#This Row],[priceWithCurrency]],3)</f>
        <v xml:space="preserve">US </v>
      </c>
      <c r="J490">
        <v>7</v>
      </c>
      <c r="K490" t="str">
        <f>IF(Table2[[#This Row],[Available]]&lt;=50, "Less Stock", "Required stock" )</f>
        <v>Less Stock</v>
      </c>
      <c r="L490">
        <f t="shared" si="7"/>
        <v>90.45</v>
      </c>
      <c r="M490" t="s">
        <v>1598</v>
      </c>
      <c r="N490">
        <v>542</v>
      </c>
      <c r="O490" t="s">
        <v>1599</v>
      </c>
      <c r="P490" t="str">
        <f>RIGHT(RIGHT(Table2[[#This Row],[last Updated]],12),4)</f>
        <v xml:space="preserve"> PDT</v>
      </c>
      <c r="Q490" t="s">
        <v>121</v>
      </c>
    </row>
    <row r="491" spans="1:17" x14ac:dyDescent="0.25">
      <c r="A491" t="s">
        <v>1600</v>
      </c>
      <c r="B491" t="str">
        <f>UPPER(Table2[[#This Row],[Brand]])</f>
        <v>FM</v>
      </c>
      <c r="C491" t="str">
        <f>LOWER(Table2[[#This Row],[Brand]])</f>
        <v>fm</v>
      </c>
      <c r="D491" t="str">
        <f>PROPER(Table2[[#This Row],[Brand]])</f>
        <v>Fm</v>
      </c>
      <c r="E491" t="s">
        <v>1601</v>
      </c>
      <c r="F491">
        <v>16.850000000000001</v>
      </c>
      <c r="G491" t="s">
        <v>1602</v>
      </c>
      <c r="H49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$16.85</v>
      </c>
      <c r="I491" t="str">
        <f>LEFT(Table2[[#This Row],[priceWithCurrency]],3)</f>
        <v xml:space="preserve">US </v>
      </c>
      <c r="J491">
        <v>4</v>
      </c>
      <c r="K491" t="str">
        <f>IF(Table2[[#This Row],[Available]]&lt;=50, "Less Stock", "Required stock" )</f>
        <v>Less Stock</v>
      </c>
      <c r="L491">
        <f t="shared" si="7"/>
        <v>1690.8600000000006</v>
      </c>
      <c r="M491" t="s">
        <v>1603</v>
      </c>
      <c r="N491">
        <v>16</v>
      </c>
      <c r="O491" t="s">
        <v>1604</v>
      </c>
      <c r="P491" t="str">
        <f>RIGHT(RIGHT(Table2[[#This Row],[last Updated]],12),4)</f>
        <v xml:space="preserve"> PDT</v>
      </c>
      <c r="Q491" t="s">
        <v>1605</v>
      </c>
    </row>
    <row r="492" spans="1:17" x14ac:dyDescent="0.25">
      <c r="A492" t="s">
        <v>159</v>
      </c>
      <c r="B492" t="str">
        <f>UPPER(Table2[[#This Row],[Brand]])</f>
        <v>VALENTINO</v>
      </c>
      <c r="C492" t="str">
        <f>LOWER(Table2[[#This Row],[Brand]])</f>
        <v>valentino</v>
      </c>
      <c r="D492" t="str">
        <f>PROPER(Table2[[#This Row],[Brand]])</f>
        <v>Valentino</v>
      </c>
      <c r="E492" t="s">
        <v>15</v>
      </c>
      <c r="F492">
        <v>103.98</v>
      </c>
      <c r="G492" t="s">
        <v>1606</v>
      </c>
      <c r="H49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$103.98</v>
      </c>
      <c r="I492" t="str">
        <f>LEFT(Table2[[#This Row],[priceWithCurrency]],3)</f>
        <v xml:space="preserve">US </v>
      </c>
      <c r="K492" t="str">
        <f>IF(Table2[[#This Row],[Available]]&lt;=50, "Less Stock", "Required stock" )</f>
        <v>Less Stock</v>
      </c>
      <c r="L492">
        <f t="shared" si="7"/>
        <v>615.21</v>
      </c>
      <c r="M492" t="s">
        <v>1607</v>
      </c>
      <c r="N492">
        <v>350</v>
      </c>
      <c r="O492" t="s">
        <v>1608</v>
      </c>
      <c r="P492" t="str">
        <f>RIGHT(RIGHT(Table2[[#This Row],[last Updated]],12),4)</f>
        <v xml:space="preserve"> PDT</v>
      </c>
      <c r="Q492" t="s">
        <v>108</v>
      </c>
    </row>
    <row r="493" spans="1:17" x14ac:dyDescent="0.25">
      <c r="A493" t="s">
        <v>1098</v>
      </c>
      <c r="B493" t="str">
        <f>UPPER(Table2[[#This Row],[Brand]])</f>
        <v>COACH</v>
      </c>
      <c r="C493" t="str">
        <f>LOWER(Table2[[#This Row],[Brand]])</f>
        <v>coach</v>
      </c>
      <c r="D493" t="str">
        <f>PROPER(Table2[[#This Row],[Brand]])</f>
        <v>Coach</v>
      </c>
      <c r="E493" t="s">
        <v>15</v>
      </c>
      <c r="F493">
        <v>39.99</v>
      </c>
      <c r="G493" t="s">
        <v>96</v>
      </c>
      <c r="H49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$39.99</v>
      </c>
      <c r="I493" t="str">
        <f>LEFT(Table2[[#This Row],[priceWithCurrency]],3)</f>
        <v xml:space="preserve">US </v>
      </c>
      <c r="J493">
        <v>13</v>
      </c>
      <c r="K493" t="str">
        <f>IF(Table2[[#This Row],[Available]]&lt;=50, "Less Stock", "Required stock" )</f>
        <v>Less Stock</v>
      </c>
      <c r="L493">
        <f t="shared" si="7"/>
        <v>615.21</v>
      </c>
      <c r="M493" t="s">
        <v>1609</v>
      </c>
      <c r="N493">
        <v>35</v>
      </c>
      <c r="O493" t="s">
        <v>1610</v>
      </c>
      <c r="P493" t="str">
        <f>RIGHT(RIGHT(Table2[[#This Row],[last Updated]],12),4)</f>
        <v xml:space="preserve"> PDT</v>
      </c>
      <c r="Q493" t="s">
        <v>438</v>
      </c>
    </row>
    <row r="494" spans="1:17" x14ac:dyDescent="0.25">
      <c r="A494" t="s">
        <v>3</v>
      </c>
      <c r="B494" t="str">
        <f>UPPER(Table2[[#This Row],[Brand]])</f>
        <v>DIOR</v>
      </c>
      <c r="C494" t="str">
        <f>LOWER(Table2[[#This Row],[Brand]])</f>
        <v>dior</v>
      </c>
      <c r="D494" t="str">
        <f>PROPER(Table2[[#This Row],[Brand]])</f>
        <v>Dior</v>
      </c>
      <c r="E494" t="s">
        <v>1611</v>
      </c>
      <c r="F494">
        <v>89.99</v>
      </c>
      <c r="G494" t="s">
        <v>377</v>
      </c>
      <c r="H49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$89.99</v>
      </c>
      <c r="I494" t="str">
        <f>LEFT(Table2[[#This Row],[priceWithCurrency]],3)</f>
        <v xml:space="preserve">US </v>
      </c>
      <c r="J494">
        <v>7</v>
      </c>
      <c r="K494" t="str">
        <f>IF(Table2[[#This Row],[Available]]&lt;=50, "Less Stock", "Required stock" )</f>
        <v>Less Stock</v>
      </c>
      <c r="L494">
        <f t="shared" si="7"/>
        <v>615.21</v>
      </c>
      <c r="M494" t="s">
        <v>1612</v>
      </c>
      <c r="N494">
        <v>129</v>
      </c>
      <c r="O494" t="s">
        <v>1613</v>
      </c>
      <c r="P494" t="str">
        <f>RIGHT(RIGHT(Table2[[#This Row],[last Updated]],12),4)</f>
        <v xml:space="preserve"> PDT</v>
      </c>
      <c r="Q494" t="s">
        <v>1614</v>
      </c>
    </row>
    <row r="495" spans="1:17" x14ac:dyDescent="0.25">
      <c r="A495" t="s">
        <v>79</v>
      </c>
      <c r="B495" t="str">
        <f>UPPER(Table2[[#This Row],[Brand]])</f>
        <v>PACO RABANNE</v>
      </c>
      <c r="C495" t="str">
        <f>LOWER(Table2[[#This Row],[Brand]])</f>
        <v>paco rabanne</v>
      </c>
      <c r="D495" t="str">
        <f>PROPER(Table2[[#This Row],[Brand]])</f>
        <v>Paco Rabanne</v>
      </c>
      <c r="E495" t="s">
        <v>4</v>
      </c>
      <c r="F495">
        <v>140</v>
      </c>
      <c r="G495" t="s">
        <v>1354</v>
      </c>
      <c r="H49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$140.00</v>
      </c>
      <c r="I495" t="str">
        <f>LEFT(Table2[[#This Row],[priceWithCurrency]],3)</f>
        <v xml:space="preserve">US </v>
      </c>
      <c r="K495" t="str">
        <f>IF(Table2[[#This Row],[Available]]&lt;=50, "Less Stock", "Required stock" )</f>
        <v>Less Stock</v>
      </c>
      <c r="L495">
        <f t="shared" si="7"/>
        <v>1708.4600000000003</v>
      </c>
      <c r="M495" t="s">
        <v>1615</v>
      </c>
      <c r="N495">
        <v>2</v>
      </c>
      <c r="P495" t="str">
        <f>RIGHT(RIGHT(Table2[[#This Row],[last Updated]],12),4)</f>
        <v/>
      </c>
      <c r="Q495" t="s">
        <v>1616</v>
      </c>
    </row>
    <row r="496" spans="1:17" x14ac:dyDescent="0.25">
      <c r="A496" t="s">
        <v>705</v>
      </c>
      <c r="B496" t="str">
        <f>UPPER(Table2[[#This Row],[Brand]])</f>
        <v>HUGO BOSS</v>
      </c>
      <c r="C496" t="str">
        <f>LOWER(Table2[[#This Row],[Brand]])</f>
        <v>hugo boss</v>
      </c>
      <c r="D496" t="str">
        <f>PROPER(Table2[[#This Row],[Brand]])</f>
        <v>Hugo Boss</v>
      </c>
      <c r="E496" t="s">
        <v>4</v>
      </c>
      <c r="F496">
        <v>52.99</v>
      </c>
      <c r="G496" t="s">
        <v>1340</v>
      </c>
      <c r="H49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$52.99</v>
      </c>
      <c r="I496" t="str">
        <f>LEFT(Table2[[#This Row],[priceWithCurrency]],3)</f>
        <v xml:space="preserve">US </v>
      </c>
      <c r="K496" t="str">
        <f>IF(Table2[[#This Row],[Available]]&lt;=50, "Less Stock", "Required stock" )</f>
        <v>Less Stock</v>
      </c>
      <c r="L496">
        <f t="shared" si="7"/>
        <v>1708.4600000000003</v>
      </c>
      <c r="M496" t="s">
        <v>1617</v>
      </c>
      <c r="N496">
        <v>7</v>
      </c>
      <c r="P496" t="str">
        <f>RIGHT(RIGHT(Table2[[#This Row],[last Updated]],12),4)</f>
        <v/>
      </c>
      <c r="Q496" t="s">
        <v>89</v>
      </c>
    </row>
    <row r="497" spans="1:17" x14ac:dyDescent="0.25">
      <c r="A497" t="s">
        <v>1618</v>
      </c>
      <c r="B497" t="str">
        <f>UPPER(Table2[[#This Row],[Brand]])</f>
        <v>PARIS HILTON</v>
      </c>
      <c r="C497" t="str">
        <f>LOWER(Table2[[#This Row],[Brand]])</f>
        <v>paris hilton</v>
      </c>
      <c r="D497" t="str">
        <f>PROPER(Table2[[#This Row],[Brand]])</f>
        <v>Paris Hilton</v>
      </c>
      <c r="E497" t="s">
        <v>15</v>
      </c>
      <c r="F497">
        <v>25.49</v>
      </c>
      <c r="G497" t="s">
        <v>558</v>
      </c>
      <c r="H49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$25.49</v>
      </c>
      <c r="I497" t="str">
        <f>LEFT(Table2[[#This Row],[priceWithCurrency]],3)</f>
        <v xml:space="preserve">US </v>
      </c>
      <c r="J497">
        <v>16</v>
      </c>
      <c r="K497" t="str">
        <f>IF(Table2[[#This Row],[Available]]&lt;=50, "Less Stock", "Required stock" )</f>
        <v>Less Stock</v>
      </c>
      <c r="L497">
        <f t="shared" si="7"/>
        <v>1708.4600000000003</v>
      </c>
      <c r="M497" t="s">
        <v>1619</v>
      </c>
      <c r="N497">
        <v>2093</v>
      </c>
      <c r="O497" t="s">
        <v>1620</v>
      </c>
      <c r="P497" t="str">
        <f>RIGHT(RIGHT(Table2[[#This Row],[last Updated]],12),4)</f>
        <v xml:space="preserve"> PDT</v>
      </c>
      <c r="Q497" t="s">
        <v>121</v>
      </c>
    </row>
    <row r="498" spans="1:17" x14ac:dyDescent="0.25">
      <c r="A498" t="s">
        <v>61</v>
      </c>
      <c r="B498" t="str">
        <f>UPPER(Table2[[#This Row],[Brand]])</f>
        <v>DOLCE&amp;GABBANA</v>
      </c>
      <c r="C498" t="str">
        <f>LOWER(Table2[[#This Row],[Brand]])</f>
        <v>dolce&amp;gabbana</v>
      </c>
      <c r="D498" t="str">
        <f>PROPER(Table2[[#This Row],[Brand]])</f>
        <v>Dolce&amp;Gabbana</v>
      </c>
      <c r="E498" t="s">
        <v>15</v>
      </c>
      <c r="F498">
        <v>33.369999999999997</v>
      </c>
      <c r="G498" t="s">
        <v>1621</v>
      </c>
      <c r="H49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$33.37</v>
      </c>
      <c r="I498" t="str">
        <f>LEFT(Table2[[#This Row],[priceWithCurrency]],3)</f>
        <v xml:space="preserve">US </v>
      </c>
      <c r="J498">
        <v>5</v>
      </c>
      <c r="K498" t="str">
        <f>IF(Table2[[#This Row],[Available]]&lt;=50, "Less Stock", "Required stock" )</f>
        <v>Less Stock</v>
      </c>
      <c r="L498">
        <f t="shared" si="7"/>
        <v>1658.6500000000003</v>
      </c>
      <c r="M498" t="s">
        <v>1622</v>
      </c>
      <c r="N498">
        <v>400</v>
      </c>
      <c r="O498" t="s">
        <v>1623</v>
      </c>
      <c r="P498" t="str">
        <f>RIGHT(RIGHT(Table2[[#This Row],[last Updated]],12),4)</f>
        <v xml:space="preserve"> PDT</v>
      </c>
      <c r="Q498" t="s">
        <v>108</v>
      </c>
    </row>
    <row r="499" spans="1:17" x14ac:dyDescent="0.25">
      <c r="A499" t="s">
        <v>79</v>
      </c>
      <c r="B499" t="str">
        <f>UPPER(Table2[[#This Row],[Brand]])</f>
        <v>PACO RABANNE</v>
      </c>
      <c r="C499" t="str">
        <f>LOWER(Table2[[#This Row],[Brand]])</f>
        <v>paco rabanne</v>
      </c>
      <c r="D499" t="str">
        <f>PROPER(Table2[[#This Row],[Brand]])</f>
        <v>Paco Rabanne</v>
      </c>
      <c r="E499" t="s">
        <v>15</v>
      </c>
      <c r="F499">
        <v>64.989999999999995</v>
      </c>
      <c r="G499" t="s">
        <v>1624</v>
      </c>
      <c r="H49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$64.99</v>
      </c>
      <c r="I499" t="str">
        <f>LEFT(Table2[[#This Row],[priceWithCurrency]],3)</f>
        <v xml:space="preserve">US </v>
      </c>
      <c r="J499">
        <v>10</v>
      </c>
      <c r="K499" t="str">
        <f>IF(Table2[[#This Row],[Available]]&lt;=50, "Less Stock", "Required stock" )</f>
        <v>Less Stock</v>
      </c>
      <c r="L499">
        <f t="shared" si="7"/>
        <v>16.71</v>
      </c>
      <c r="M499" t="s">
        <v>1625</v>
      </c>
      <c r="N499">
        <v>313</v>
      </c>
      <c r="O499" t="s">
        <v>1626</v>
      </c>
      <c r="P499" t="str">
        <f>RIGHT(RIGHT(Table2[[#This Row],[last Updated]],12),4)</f>
        <v xml:space="preserve"> PDT</v>
      </c>
      <c r="Q499" t="s">
        <v>131</v>
      </c>
    </row>
    <row r="500" spans="1:17" x14ac:dyDescent="0.25">
      <c r="A500" t="s">
        <v>20</v>
      </c>
      <c r="B500" t="str">
        <f>UPPER(Table2[[#This Row],[Brand]])</f>
        <v>GIORGIO ARMANI</v>
      </c>
      <c r="C500" t="str">
        <f>LOWER(Table2[[#This Row],[Brand]])</f>
        <v>giorgio armani</v>
      </c>
      <c r="D500" t="str">
        <f>PROPER(Table2[[#This Row],[Brand]])</f>
        <v>Giorgio Armani</v>
      </c>
      <c r="E500" t="s">
        <v>15</v>
      </c>
      <c r="F500">
        <v>39.99</v>
      </c>
      <c r="G500" t="s">
        <v>96</v>
      </c>
      <c r="H50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$39.99</v>
      </c>
      <c r="I500" t="str">
        <f>LEFT(Table2[[#This Row],[priceWithCurrency]],3)</f>
        <v xml:space="preserve">US </v>
      </c>
      <c r="J500">
        <v>8</v>
      </c>
      <c r="K500" t="str">
        <f>IF(Table2[[#This Row],[Available]]&lt;=50, "Less Stock", "Required stock" )</f>
        <v>Less Stock</v>
      </c>
      <c r="L500">
        <f t="shared" si="7"/>
        <v>164.35</v>
      </c>
      <c r="M500" t="s">
        <v>1537</v>
      </c>
      <c r="N500">
        <v>26</v>
      </c>
      <c r="O500" t="s">
        <v>1627</v>
      </c>
      <c r="P500" t="str">
        <f>RIGHT(RIGHT(Table2[[#This Row],[last Updated]],12),4)</f>
        <v xml:space="preserve"> PDT</v>
      </c>
      <c r="Q500" t="s">
        <v>1628</v>
      </c>
    </row>
    <row r="501" spans="1:17" x14ac:dyDescent="0.25">
      <c r="A501" t="s">
        <v>249</v>
      </c>
      <c r="B501" t="str">
        <f>UPPER(Table2[[#This Row],[Brand]])</f>
        <v>KENNETH COLE</v>
      </c>
      <c r="C501" t="str">
        <f>LOWER(Table2[[#This Row],[Brand]])</f>
        <v>kenneth cole</v>
      </c>
      <c r="D501" t="str">
        <f>PROPER(Table2[[#This Row],[Brand]])</f>
        <v>Kenneth Cole</v>
      </c>
      <c r="E501" t="s">
        <v>15</v>
      </c>
      <c r="F501">
        <v>24.15</v>
      </c>
      <c r="G501" t="s">
        <v>1629</v>
      </c>
      <c r="H50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$24.15</v>
      </c>
      <c r="I501" t="str">
        <f>LEFT(Table2[[#This Row],[priceWithCurrency]],3)</f>
        <v xml:space="preserve">US </v>
      </c>
      <c r="J501">
        <v>10</v>
      </c>
      <c r="K501" t="str">
        <f>IF(Table2[[#This Row],[Available]]&lt;=50, "Less Stock", "Required stock" )</f>
        <v>Less Stock</v>
      </c>
      <c r="L501">
        <f t="shared" si="7"/>
        <v>784.19</v>
      </c>
      <c r="M501" t="s">
        <v>390</v>
      </c>
      <c r="N501">
        <v>14</v>
      </c>
      <c r="P501" t="str">
        <f>RIGHT(RIGHT(Table2[[#This Row],[last Updated]],12),4)</f>
        <v/>
      </c>
      <c r="Q501" t="s">
        <v>89</v>
      </c>
    </row>
    <row r="502" spans="1:17" x14ac:dyDescent="0.25">
      <c r="A502" t="s">
        <v>14</v>
      </c>
      <c r="B502" t="str">
        <f>UPPER(Table2[[#This Row],[Brand]])</f>
        <v>UNBRANDED</v>
      </c>
      <c r="C502" t="str">
        <f>LOWER(Table2[[#This Row],[Brand]])</f>
        <v>unbranded</v>
      </c>
      <c r="D502" t="str">
        <f>PROPER(Table2[[#This Row],[Brand]])</f>
        <v>Unbranded</v>
      </c>
      <c r="E502" t="s">
        <v>32</v>
      </c>
      <c r="F502">
        <v>35.99</v>
      </c>
      <c r="G502" t="s">
        <v>122</v>
      </c>
      <c r="H50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$35.99</v>
      </c>
      <c r="I502" t="str">
        <f>LEFT(Table2[[#This Row],[priceWithCurrency]],3)</f>
        <v xml:space="preserve">US </v>
      </c>
      <c r="J502">
        <v>5</v>
      </c>
      <c r="K502" t="str">
        <f>IF(Table2[[#This Row],[Available]]&lt;=50, "Less Stock", "Required stock" )</f>
        <v>Less Stock</v>
      </c>
      <c r="L502">
        <f t="shared" si="7"/>
        <v>119.99</v>
      </c>
      <c r="M502" t="s">
        <v>1630</v>
      </c>
      <c r="N502">
        <v>27</v>
      </c>
      <c r="O502" t="s">
        <v>1631</v>
      </c>
      <c r="P502" t="str">
        <f>RIGHT(RIGHT(Table2[[#This Row],[last Updated]],12),4)</f>
        <v xml:space="preserve"> PDT</v>
      </c>
      <c r="Q502" t="s">
        <v>582</v>
      </c>
    </row>
    <row r="503" spans="1:17" x14ac:dyDescent="0.25">
      <c r="A503" t="s">
        <v>180</v>
      </c>
      <c r="B503" t="str">
        <f>UPPER(Table2[[#This Row],[Brand]])</f>
        <v>CALVIN KLEIN</v>
      </c>
      <c r="C503" t="str">
        <f>LOWER(Table2[[#This Row],[Brand]])</f>
        <v>calvin klein</v>
      </c>
      <c r="D503" t="str">
        <f>PROPER(Table2[[#This Row],[Brand]])</f>
        <v>Calvin Klein</v>
      </c>
      <c r="E503" t="s">
        <v>4</v>
      </c>
      <c r="F503">
        <v>21.27</v>
      </c>
      <c r="G503" t="s">
        <v>1632</v>
      </c>
      <c r="H50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$21.27</v>
      </c>
      <c r="I503" t="str">
        <f>LEFT(Table2[[#This Row],[priceWithCurrency]],3)</f>
        <v xml:space="preserve">US </v>
      </c>
      <c r="J503">
        <v>10</v>
      </c>
      <c r="K503" t="str">
        <f>IF(Table2[[#This Row],[Available]]&lt;=50, "Less Stock", "Required stock" )</f>
        <v>Less Stock</v>
      </c>
      <c r="L503">
        <f t="shared" si="7"/>
        <v>15.99</v>
      </c>
      <c r="M503" t="s">
        <v>354</v>
      </c>
      <c r="N503">
        <v>30</v>
      </c>
      <c r="O503" t="s">
        <v>1633</v>
      </c>
      <c r="P503" t="str">
        <f>RIGHT(RIGHT(Table2[[#This Row],[last Updated]],12),4)</f>
        <v xml:space="preserve"> PDT</v>
      </c>
      <c r="Q503" t="s">
        <v>1539</v>
      </c>
    </row>
    <row r="504" spans="1:17" x14ac:dyDescent="0.25">
      <c r="A504" t="s">
        <v>219</v>
      </c>
      <c r="B504" t="str">
        <f>UPPER(Table2[[#This Row],[Brand]])</f>
        <v>JOHN VARVATOS</v>
      </c>
      <c r="C504" t="str">
        <f>LOWER(Table2[[#This Row],[Brand]])</f>
        <v>john varvatos</v>
      </c>
      <c r="D504" t="str">
        <f>PROPER(Table2[[#This Row],[Brand]])</f>
        <v>John Varvatos</v>
      </c>
      <c r="E504" t="s">
        <v>4</v>
      </c>
      <c r="F504">
        <v>79.989999999999995</v>
      </c>
      <c r="G504" t="s">
        <v>407</v>
      </c>
      <c r="H50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$79.99</v>
      </c>
      <c r="I504" t="str">
        <f>LEFT(Table2[[#This Row],[priceWithCurrency]],3)</f>
        <v xml:space="preserve">US </v>
      </c>
      <c r="J504">
        <v>10</v>
      </c>
      <c r="K504" t="str">
        <f>IF(Table2[[#This Row],[Available]]&lt;=50, "Less Stock", "Required stock" )</f>
        <v>Less Stock</v>
      </c>
      <c r="L504">
        <f t="shared" si="7"/>
        <v>198.32</v>
      </c>
      <c r="M504" t="s">
        <v>1405</v>
      </c>
      <c r="N504">
        <v>17</v>
      </c>
      <c r="O504" t="s">
        <v>1634</v>
      </c>
      <c r="P504" t="str">
        <f>RIGHT(RIGHT(Table2[[#This Row],[last Updated]],12),4)</f>
        <v xml:space="preserve"> PDT</v>
      </c>
      <c r="Q504" t="s">
        <v>1635</v>
      </c>
    </row>
    <row r="505" spans="1:17" x14ac:dyDescent="0.25">
      <c r="A505" t="s">
        <v>61</v>
      </c>
      <c r="B505" t="str">
        <f>UPPER(Table2[[#This Row],[Brand]])</f>
        <v>DOLCE&amp;GABBANA</v>
      </c>
      <c r="C505" t="str">
        <f>LOWER(Table2[[#This Row],[Brand]])</f>
        <v>dolce&amp;gabbana</v>
      </c>
      <c r="D505" t="str">
        <f>PROPER(Table2[[#This Row],[Brand]])</f>
        <v>Dolce&amp;Gabbana</v>
      </c>
      <c r="E505" t="s">
        <v>15</v>
      </c>
      <c r="F505">
        <v>29.99</v>
      </c>
      <c r="G505" t="s">
        <v>91</v>
      </c>
      <c r="H50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$29.99</v>
      </c>
      <c r="I505" t="str">
        <f>LEFT(Table2[[#This Row],[priceWithCurrency]],3)</f>
        <v xml:space="preserve">US </v>
      </c>
      <c r="J505">
        <v>6</v>
      </c>
      <c r="K505" t="str">
        <f>IF(Table2[[#This Row],[Available]]&lt;=50, "Less Stock", "Required stock" )</f>
        <v>Less Stock</v>
      </c>
      <c r="L505">
        <f t="shared" si="7"/>
        <v>14.99</v>
      </c>
      <c r="M505" t="s">
        <v>1636</v>
      </c>
      <c r="N505">
        <v>10</v>
      </c>
      <c r="O505" t="s">
        <v>570</v>
      </c>
      <c r="P505" t="str">
        <f>RIGHT(RIGHT(Table2[[#This Row],[last Updated]],12),4)</f>
        <v xml:space="preserve"> PDT</v>
      </c>
      <c r="Q505" t="s">
        <v>406</v>
      </c>
    </row>
    <row r="506" spans="1:17" x14ac:dyDescent="0.25">
      <c r="A506" t="s">
        <v>20</v>
      </c>
      <c r="B506" t="str">
        <f>UPPER(Table2[[#This Row],[Brand]])</f>
        <v>GIORGIO ARMANI</v>
      </c>
      <c r="C506" t="str">
        <f>LOWER(Table2[[#This Row],[Brand]])</f>
        <v>giorgio armani</v>
      </c>
      <c r="D506" t="str">
        <f>PROPER(Table2[[#This Row],[Brand]])</f>
        <v>Giorgio Armani</v>
      </c>
      <c r="E506" t="s">
        <v>15</v>
      </c>
      <c r="F506">
        <v>38.25</v>
      </c>
      <c r="G506" t="s">
        <v>1085</v>
      </c>
      <c r="H50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$38.25</v>
      </c>
      <c r="I506" t="str">
        <f>LEFT(Table2[[#This Row],[priceWithCurrency]],3)</f>
        <v xml:space="preserve">US </v>
      </c>
      <c r="J506">
        <v>5</v>
      </c>
      <c r="K506" t="str">
        <f>IF(Table2[[#This Row],[Available]]&lt;=50, "Less Stock", "Required stock" )</f>
        <v>Less Stock</v>
      </c>
      <c r="L506">
        <f t="shared" si="7"/>
        <v>1583.7700000000004</v>
      </c>
      <c r="M506" t="s">
        <v>1637</v>
      </c>
      <c r="N506">
        <v>8</v>
      </c>
      <c r="O506" t="s">
        <v>1638</v>
      </c>
      <c r="P506" t="str">
        <f>RIGHT(RIGHT(Table2[[#This Row],[last Updated]],12),4)</f>
        <v xml:space="preserve"> PDT</v>
      </c>
      <c r="Q506" t="s">
        <v>1639</v>
      </c>
    </row>
    <row r="507" spans="1:17" x14ac:dyDescent="0.25">
      <c r="A507" t="s">
        <v>71</v>
      </c>
      <c r="B507" t="str">
        <f>UPPER(Table2[[#This Row],[Brand]])</f>
        <v>AS SHOW</v>
      </c>
      <c r="C507" t="str">
        <f>LOWER(Table2[[#This Row],[Brand]])</f>
        <v>as show</v>
      </c>
      <c r="D507" t="str">
        <f>PROPER(Table2[[#This Row],[Brand]])</f>
        <v>As Show</v>
      </c>
      <c r="E507" t="s">
        <v>15</v>
      </c>
      <c r="F507">
        <v>49.99</v>
      </c>
      <c r="G507" t="s">
        <v>52</v>
      </c>
      <c r="H50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$49.99</v>
      </c>
      <c r="I507" t="str">
        <f>LEFT(Table2[[#This Row],[priceWithCurrency]],3)</f>
        <v xml:space="preserve">US </v>
      </c>
      <c r="J507">
        <v>20</v>
      </c>
      <c r="K507" t="str">
        <f>IF(Table2[[#This Row],[Available]]&lt;=50, "Less Stock", "Required stock" )</f>
        <v>Less Stock</v>
      </c>
      <c r="L507">
        <f t="shared" si="7"/>
        <v>1528.7800000000004</v>
      </c>
      <c r="M507" t="s">
        <v>1640</v>
      </c>
      <c r="N507">
        <v>15</v>
      </c>
      <c r="O507" t="s">
        <v>1641</v>
      </c>
      <c r="P507" t="str">
        <f>RIGHT(RIGHT(Table2[[#This Row],[last Updated]],12),4)</f>
        <v xml:space="preserve"> PDT</v>
      </c>
      <c r="Q507" t="s">
        <v>75</v>
      </c>
    </row>
    <row r="508" spans="1:17" x14ac:dyDescent="0.25">
      <c r="A508" t="s">
        <v>1642</v>
      </c>
      <c r="B508" t="str">
        <f>UPPER(Table2[[#This Row],[Brand]])</f>
        <v>HEAVEN SCENTS</v>
      </c>
      <c r="C508" t="str">
        <f>LOWER(Table2[[#This Row],[Brand]])</f>
        <v>heaven scents</v>
      </c>
      <c r="D508" t="str">
        <f>PROPER(Table2[[#This Row],[Brand]])</f>
        <v>Heaven Scents</v>
      </c>
      <c r="E508" t="s">
        <v>32</v>
      </c>
      <c r="F508">
        <v>139.99</v>
      </c>
      <c r="G508" t="s">
        <v>1552</v>
      </c>
      <c r="H50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$139.99</v>
      </c>
      <c r="I508" t="str">
        <f>LEFT(Table2[[#This Row],[priceWithCurrency]],3)</f>
        <v xml:space="preserve">US </v>
      </c>
      <c r="J508">
        <v>4</v>
      </c>
      <c r="K508" t="str">
        <f>IF(Table2[[#This Row],[Available]]&lt;=50, "Less Stock", "Required stock" )</f>
        <v>Less Stock</v>
      </c>
      <c r="L508">
        <f t="shared" si="7"/>
        <v>1525.1200000000003</v>
      </c>
      <c r="M508" t="s">
        <v>1643</v>
      </c>
      <c r="N508">
        <v>46</v>
      </c>
      <c r="O508" t="s">
        <v>1644</v>
      </c>
      <c r="P508" t="str">
        <f>RIGHT(RIGHT(Table2[[#This Row],[last Updated]],12),4)</f>
        <v xml:space="preserve"> PDT</v>
      </c>
      <c r="Q508" t="s">
        <v>1645</v>
      </c>
    </row>
    <row r="509" spans="1:17" x14ac:dyDescent="0.25">
      <c r="A509" t="s">
        <v>373</v>
      </c>
      <c r="B509" t="str">
        <f>UPPER(Table2[[#This Row],[Brand]])</f>
        <v>ABERCROMBIE &amp; FITCH</v>
      </c>
      <c r="C509" t="str">
        <f>LOWER(Table2[[#This Row],[Brand]])</f>
        <v>abercrombie &amp; fitch</v>
      </c>
      <c r="D509" t="str">
        <f>PROPER(Table2[[#This Row],[Brand]])</f>
        <v>Abercrombie &amp; Fitch</v>
      </c>
      <c r="E509" t="s">
        <v>374</v>
      </c>
      <c r="F509">
        <v>49.49</v>
      </c>
      <c r="G509" t="s">
        <v>1646</v>
      </c>
      <c r="H50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$49.49</v>
      </c>
      <c r="I509" t="str">
        <f>LEFT(Table2[[#This Row],[priceWithCurrency]],3)</f>
        <v xml:space="preserve">US </v>
      </c>
      <c r="J509">
        <v>10</v>
      </c>
      <c r="K509" t="str">
        <f>IF(Table2[[#This Row],[Available]]&lt;=50, "Less Stock", "Required stock" )</f>
        <v>Less Stock</v>
      </c>
      <c r="L509">
        <f t="shared" si="7"/>
        <v>1525.1200000000003</v>
      </c>
      <c r="M509" t="s">
        <v>1647</v>
      </c>
      <c r="N509">
        <v>463</v>
      </c>
      <c r="O509" t="s">
        <v>1648</v>
      </c>
      <c r="P509" t="str">
        <f>RIGHT(RIGHT(Table2[[#This Row],[last Updated]],12),4)</f>
        <v xml:space="preserve"> PDT</v>
      </c>
      <c r="Q509" t="s">
        <v>406</v>
      </c>
    </row>
    <row r="510" spans="1:17" x14ac:dyDescent="0.25">
      <c r="A510" t="s">
        <v>627</v>
      </c>
      <c r="B510" t="str">
        <f>UPPER(Table2[[#This Row],[Brand]])</f>
        <v>SEAN JOHN</v>
      </c>
      <c r="C510" t="str">
        <f>LOWER(Table2[[#This Row],[Brand]])</f>
        <v>sean john</v>
      </c>
      <c r="D510" t="str">
        <f>PROPER(Table2[[#This Row],[Brand]])</f>
        <v>Sean John</v>
      </c>
      <c r="E510" t="s">
        <v>15</v>
      </c>
      <c r="F510">
        <v>24.99</v>
      </c>
      <c r="G510" t="s">
        <v>1649</v>
      </c>
      <c r="H51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$24.99</v>
      </c>
      <c r="I510" t="str">
        <f>LEFT(Table2[[#This Row],[priceWithCurrency]],3)</f>
        <v xml:space="preserve">US </v>
      </c>
      <c r="J510">
        <v>10</v>
      </c>
      <c r="K510" t="str">
        <f>IF(Table2[[#This Row],[Available]]&lt;=50, "Less Stock", "Required stock" )</f>
        <v>Less Stock</v>
      </c>
      <c r="L510">
        <f t="shared" si="7"/>
        <v>1525.1200000000003</v>
      </c>
      <c r="M510" t="s">
        <v>6</v>
      </c>
      <c r="N510">
        <v>116</v>
      </c>
      <c r="O510" t="s">
        <v>1650</v>
      </c>
      <c r="P510" t="str">
        <f>RIGHT(RIGHT(Table2[[#This Row],[last Updated]],12),4)</f>
        <v xml:space="preserve"> PDT</v>
      </c>
      <c r="Q510" t="s">
        <v>89</v>
      </c>
    </row>
    <row r="511" spans="1:17" x14ac:dyDescent="0.25">
      <c r="A511" t="s">
        <v>56</v>
      </c>
      <c r="B511" t="str">
        <f>UPPER(Table2[[#This Row],[Brand]])</f>
        <v>RALPH LAUREN</v>
      </c>
      <c r="C511" t="str">
        <f>LOWER(Table2[[#This Row],[Brand]])</f>
        <v>ralph lauren</v>
      </c>
      <c r="D511" t="str">
        <f>PROPER(Table2[[#This Row],[Brand]])</f>
        <v>Ralph Lauren</v>
      </c>
      <c r="E511" t="s">
        <v>374</v>
      </c>
      <c r="F511">
        <v>53.99</v>
      </c>
      <c r="G511" t="s">
        <v>725</v>
      </c>
      <c r="H51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$53.99</v>
      </c>
      <c r="I511" t="str">
        <f>LEFT(Table2[[#This Row],[priceWithCurrency]],3)</f>
        <v xml:space="preserve">US </v>
      </c>
      <c r="J511">
        <v>129</v>
      </c>
      <c r="K511" t="str">
        <f>IF(Table2[[#This Row],[Available]]&lt;=50, "Less Stock", "Required stock" )</f>
        <v>Required stock</v>
      </c>
      <c r="L511">
        <f t="shared" si="7"/>
        <v>330.54</v>
      </c>
      <c r="M511" t="s">
        <v>1651</v>
      </c>
      <c r="N511">
        <v>229</v>
      </c>
      <c r="O511" t="s">
        <v>1652</v>
      </c>
      <c r="P511" t="str">
        <f>RIGHT(RIGHT(Table2[[#This Row],[last Updated]],12),4)</f>
        <v xml:space="preserve"> PDT</v>
      </c>
      <c r="Q511" t="s">
        <v>121</v>
      </c>
    </row>
    <row r="512" spans="1:17" x14ac:dyDescent="0.25">
      <c r="A512" t="s">
        <v>51</v>
      </c>
      <c r="B512" t="str">
        <f>UPPER(Table2[[#This Row],[Brand]])</f>
        <v>GUCCI</v>
      </c>
      <c r="C512" t="str">
        <f>LOWER(Table2[[#This Row],[Brand]])</f>
        <v>gucci</v>
      </c>
      <c r="D512" t="str">
        <f>PROPER(Table2[[#This Row],[Brand]])</f>
        <v>Gucci</v>
      </c>
      <c r="E512" t="s">
        <v>4</v>
      </c>
      <c r="F512">
        <v>68.989999999999995</v>
      </c>
      <c r="G512" t="s">
        <v>81</v>
      </c>
      <c r="H51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$68.99</v>
      </c>
      <c r="I512" t="str">
        <f>LEFT(Table2[[#This Row],[priceWithCurrency]],3)</f>
        <v xml:space="preserve">US </v>
      </c>
      <c r="J512">
        <v>8</v>
      </c>
      <c r="K512" t="str">
        <f>IF(Table2[[#This Row],[Available]]&lt;=50, "Less Stock", "Required stock" )</f>
        <v>Less Stock</v>
      </c>
      <c r="L512">
        <f t="shared" si="7"/>
        <v>1618.6300000000003</v>
      </c>
      <c r="M512" t="s">
        <v>1653</v>
      </c>
      <c r="N512">
        <v>248</v>
      </c>
      <c r="O512" t="s">
        <v>1654</v>
      </c>
      <c r="P512" t="str">
        <f>RIGHT(RIGHT(Table2[[#This Row],[last Updated]],12),4)</f>
        <v xml:space="preserve"> PDT</v>
      </c>
      <c r="Q512" t="s">
        <v>121</v>
      </c>
    </row>
    <row r="513" spans="1:17" x14ac:dyDescent="0.25">
      <c r="A513" t="s">
        <v>1098</v>
      </c>
      <c r="B513" t="str">
        <f>UPPER(Table2[[#This Row],[Brand]])</f>
        <v>COACH</v>
      </c>
      <c r="C513" t="str">
        <f>LOWER(Table2[[#This Row],[Brand]])</f>
        <v>coach</v>
      </c>
      <c r="D513" t="str">
        <f>PROPER(Table2[[#This Row],[Brand]])</f>
        <v>Coach</v>
      </c>
      <c r="E513" t="s">
        <v>15</v>
      </c>
      <c r="F513">
        <v>29.99</v>
      </c>
      <c r="G513" t="s">
        <v>91</v>
      </c>
      <c r="H51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$29.99</v>
      </c>
      <c r="I513" t="str">
        <f>LEFT(Table2[[#This Row],[priceWithCurrency]],3)</f>
        <v xml:space="preserve">US </v>
      </c>
      <c r="J513">
        <v>10</v>
      </c>
      <c r="K513" t="str">
        <f>IF(Table2[[#This Row],[Available]]&lt;=50, "Less Stock", "Required stock" )</f>
        <v>Less Stock</v>
      </c>
      <c r="L513">
        <f t="shared" si="7"/>
        <v>1661.5800000000004</v>
      </c>
      <c r="M513" t="s">
        <v>1435</v>
      </c>
      <c r="N513">
        <v>286</v>
      </c>
      <c r="O513" t="s">
        <v>1655</v>
      </c>
      <c r="P513" t="str">
        <f>RIGHT(RIGHT(Table2[[#This Row],[last Updated]],12),4)</f>
        <v xml:space="preserve"> PDT</v>
      </c>
      <c r="Q513" t="s">
        <v>226</v>
      </c>
    </row>
    <row r="514" spans="1:17" x14ac:dyDescent="0.25">
      <c r="A514" t="s">
        <v>66</v>
      </c>
      <c r="B514" t="str">
        <f>UPPER(Table2[[#This Row],[Brand]])</f>
        <v>SECERTMU</v>
      </c>
      <c r="C514" t="str">
        <f>LOWER(Table2[[#This Row],[Brand]])</f>
        <v>secertmu</v>
      </c>
      <c r="D514" t="str">
        <f>PROPER(Table2[[#This Row],[Brand]])</f>
        <v>Secertmu</v>
      </c>
      <c r="E514" t="s">
        <v>32</v>
      </c>
      <c r="F514">
        <v>11.99</v>
      </c>
      <c r="G514" t="s">
        <v>929</v>
      </c>
      <c r="H51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$11.99</v>
      </c>
      <c r="I514" t="str">
        <f>LEFT(Table2[[#This Row],[priceWithCurrency]],3)</f>
        <v xml:space="preserve">US </v>
      </c>
      <c r="J514">
        <v>10</v>
      </c>
      <c r="K514" t="str">
        <f>IF(Table2[[#This Row],[Available]]&lt;=50, "Less Stock", "Required stock" )</f>
        <v>Less Stock</v>
      </c>
      <c r="L514">
        <f t="shared" ref="L514:L577" si="8">SUMIF(E514:E594,E558,F558:F1513)</f>
        <v>1671.6100000000004</v>
      </c>
      <c r="M514" t="s">
        <v>1006</v>
      </c>
      <c r="N514">
        <v>51</v>
      </c>
      <c r="O514" t="s">
        <v>1656</v>
      </c>
      <c r="P514" t="str">
        <f>RIGHT(RIGHT(Table2[[#This Row],[last Updated]],12),4)</f>
        <v xml:space="preserve"> PDT</v>
      </c>
      <c r="Q514" t="s">
        <v>503</v>
      </c>
    </row>
    <row r="515" spans="1:17" x14ac:dyDescent="0.25">
      <c r="A515" t="s">
        <v>1098</v>
      </c>
      <c r="B515" t="str">
        <f>UPPER(Table2[[#This Row],[Brand]])</f>
        <v>COACH</v>
      </c>
      <c r="C515" t="str">
        <f>LOWER(Table2[[#This Row],[Brand]])</f>
        <v>coach</v>
      </c>
      <c r="D515" t="str">
        <f>PROPER(Table2[[#This Row],[Brand]])</f>
        <v>Coach</v>
      </c>
      <c r="E515" t="s">
        <v>15</v>
      </c>
      <c r="F515">
        <v>41.99</v>
      </c>
      <c r="G515" t="s">
        <v>562</v>
      </c>
      <c r="H51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$41.99</v>
      </c>
      <c r="I515" t="str">
        <f>LEFT(Table2[[#This Row],[priceWithCurrency]],3)</f>
        <v xml:space="preserve">US </v>
      </c>
      <c r="J515">
        <v>15</v>
      </c>
      <c r="K515" t="str">
        <f>IF(Table2[[#This Row],[Available]]&lt;=50, "Less Stock", "Required stock" )</f>
        <v>Less Stock</v>
      </c>
      <c r="L515">
        <f t="shared" si="8"/>
        <v>1765.5200000000004</v>
      </c>
      <c r="M515" t="s">
        <v>1657</v>
      </c>
      <c r="N515">
        <v>248</v>
      </c>
      <c r="O515" t="s">
        <v>1658</v>
      </c>
      <c r="P515" t="str">
        <f>RIGHT(RIGHT(Table2[[#This Row],[last Updated]],12),4)</f>
        <v xml:space="preserve"> PDT</v>
      </c>
      <c r="Q515" t="s">
        <v>121</v>
      </c>
    </row>
    <row r="516" spans="1:17" x14ac:dyDescent="0.25">
      <c r="A516" t="s">
        <v>270</v>
      </c>
      <c r="B516" t="str">
        <f>UPPER(Table2[[#This Row],[Brand]])</f>
        <v>YVES SAINT LAURENT</v>
      </c>
      <c r="C516" t="str">
        <f>LOWER(Table2[[#This Row],[Brand]])</f>
        <v>yves saint laurent</v>
      </c>
      <c r="D516" t="str">
        <f>PROPER(Table2[[#This Row],[Brand]])</f>
        <v>Yves Saint Laurent</v>
      </c>
      <c r="E516" t="s">
        <v>4</v>
      </c>
      <c r="F516">
        <v>84.59</v>
      </c>
      <c r="G516" t="s">
        <v>1659</v>
      </c>
      <c r="H51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$84.59</v>
      </c>
      <c r="I516" t="str">
        <f>LEFT(Table2[[#This Row],[priceWithCurrency]],3)</f>
        <v xml:space="preserve">US </v>
      </c>
      <c r="J516">
        <v>3</v>
      </c>
      <c r="K516" t="str">
        <f>IF(Table2[[#This Row],[Available]]&lt;=50, "Less Stock", "Required stock" )</f>
        <v>Less Stock</v>
      </c>
      <c r="L516">
        <f t="shared" si="8"/>
        <v>90.830000000000013</v>
      </c>
      <c r="M516" t="s">
        <v>1660</v>
      </c>
      <c r="N516">
        <v>19</v>
      </c>
      <c r="O516" t="s">
        <v>1661</v>
      </c>
      <c r="P516" t="str">
        <f>RIGHT(RIGHT(Table2[[#This Row],[last Updated]],12),4)</f>
        <v xml:space="preserve"> PDT</v>
      </c>
      <c r="Q516" t="s">
        <v>30</v>
      </c>
    </row>
    <row r="517" spans="1:17" x14ac:dyDescent="0.25">
      <c r="A517" t="s">
        <v>159</v>
      </c>
      <c r="B517" t="str">
        <f>UPPER(Table2[[#This Row],[Brand]])</f>
        <v>VALENTINO</v>
      </c>
      <c r="C517" t="str">
        <f>LOWER(Table2[[#This Row],[Brand]])</f>
        <v>valentino</v>
      </c>
      <c r="D517" t="str">
        <f>PROPER(Table2[[#This Row],[Brand]])</f>
        <v>Valentino</v>
      </c>
      <c r="E517" t="s">
        <v>15</v>
      </c>
      <c r="F517">
        <v>75.989999999999995</v>
      </c>
      <c r="G517" t="s">
        <v>1662</v>
      </c>
      <c r="H51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$75.99</v>
      </c>
      <c r="I517" t="str">
        <f>LEFT(Table2[[#This Row],[priceWithCurrency]],3)</f>
        <v xml:space="preserve">US </v>
      </c>
      <c r="J517">
        <v>2</v>
      </c>
      <c r="K517" t="str">
        <f>IF(Table2[[#This Row],[Available]]&lt;=50, "Less Stock", "Required stock" )</f>
        <v>Less Stock</v>
      </c>
      <c r="L517">
        <f t="shared" si="8"/>
        <v>1729.4200000000003</v>
      </c>
      <c r="M517" t="s">
        <v>1663</v>
      </c>
      <c r="N517">
        <v>8</v>
      </c>
      <c r="O517" t="s">
        <v>1664</v>
      </c>
      <c r="P517" t="str">
        <f>RIGHT(RIGHT(Table2[[#This Row],[last Updated]],12),4)</f>
        <v xml:space="preserve"> PDT</v>
      </c>
      <c r="Q517" t="s">
        <v>410</v>
      </c>
    </row>
    <row r="518" spans="1:17" x14ac:dyDescent="0.25">
      <c r="A518" t="s">
        <v>95</v>
      </c>
      <c r="B518" t="str">
        <f>UPPER(Table2[[#This Row],[Brand]])</f>
        <v>CAROLINA HERRERA</v>
      </c>
      <c r="C518" t="str">
        <f>LOWER(Table2[[#This Row],[Brand]])</f>
        <v>carolina herrera</v>
      </c>
      <c r="D518" t="str">
        <f>PROPER(Table2[[#This Row],[Brand]])</f>
        <v>Carolina Herrera</v>
      </c>
      <c r="E518" t="s">
        <v>15</v>
      </c>
      <c r="F518">
        <v>39.99</v>
      </c>
      <c r="G518" t="s">
        <v>96</v>
      </c>
      <c r="H51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$39.99</v>
      </c>
      <c r="I518" t="str">
        <f>LEFT(Table2[[#This Row],[priceWithCurrency]],3)</f>
        <v xml:space="preserve">US </v>
      </c>
      <c r="J518">
        <v>10</v>
      </c>
      <c r="K518" t="str">
        <f>IF(Table2[[#This Row],[Available]]&lt;=50, "Less Stock", "Required stock" )</f>
        <v>Less Stock</v>
      </c>
      <c r="L518">
        <f t="shared" si="8"/>
        <v>90.830000000000013</v>
      </c>
      <c r="M518" t="s">
        <v>1665</v>
      </c>
      <c r="N518">
        <v>207</v>
      </c>
      <c r="O518" t="s">
        <v>1666</v>
      </c>
      <c r="P518" t="str">
        <f>RIGHT(RIGHT(Table2[[#This Row],[last Updated]],12),4)</f>
        <v xml:space="preserve"> PDT</v>
      </c>
      <c r="Q518" t="s">
        <v>1667</v>
      </c>
    </row>
    <row r="519" spans="1:17" x14ac:dyDescent="0.25">
      <c r="A519" t="s">
        <v>476</v>
      </c>
      <c r="B519" t="str">
        <f>UPPER(Table2[[#This Row],[Brand]])</f>
        <v>HERMÈS</v>
      </c>
      <c r="C519" t="str">
        <f>LOWER(Table2[[#This Row],[Brand]])</f>
        <v>hermès</v>
      </c>
      <c r="D519" t="str">
        <f>PROPER(Table2[[#This Row],[Brand]])</f>
        <v>Hermès</v>
      </c>
      <c r="E519" t="s">
        <v>15</v>
      </c>
      <c r="F519">
        <v>64.88</v>
      </c>
      <c r="G519" t="s">
        <v>1668</v>
      </c>
      <c r="H51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$64.88</v>
      </c>
      <c r="I519" t="str">
        <f>LEFT(Table2[[#This Row],[priceWithCurrency]],3)</f>
        <v xml:space="preserve">US </v>
      </c>
      <c r="J519">
        <v>16</v>
      </c>
      <c r="K519" t="str">
        <f>IF(Table2[[#This Row],[Available]]&lt;=50, "Less Stock", "Required stock" )</f>
        <v>Less Stock</v>
      </c>
      <c r="L519">
        <f t="shared" si="8"/>
        <v>221.54999999999998</v>
      </c>
      <c r="M519" t="s">
        <v>1669</v>
      </c>
      <c r="N519">
        <v>292</v>
      </c>
      <c r="O519" t="s">
        <v>1670</v>
      </c>
      <c r="P519" t="str">
        <f>RIGHT(RIGHT(Table2[[#This Row],[last Updated]],12),4)</f>
        <v xml:space="preserve"> PDT</v>
      </c>
      <c r="Q519" t="s">
        <v>121</v>
      </c>
    </row>
    <row r="520" spans="1:17" x14ac:dyDescent="0.25">
      <c r="A520" t="s">
        <v>79</v>
      </c>
      <c r="B520" t="str">
        <f>UPPER(Table2[[#This Row],[Brand]])</f>
        <v>PACO RABANNE</v>
      </c>
      <c r="C520" t="str">
        <f>LOWER(Table2[[#This Row],[Brand]])</f>
        <v>paco rabanne</v>
      </c>
      <c r="D520" t="str">
        <f>PROPER(Table2[[#This Row],[Brand]])</f>
        <v>Paco Rabanne</v>
      </c>
      <c r="E520" t="s">
        <v>15</v>
      </c>
      <c r="F520">
        <v>49.99</v>
      </c>
      <c r="G520" t="s">
        <v>52</v>
      </c>
      <c r="H52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$49.99</v>
      </c>
      <c r="I520" t="str">
        <f>LEFT(Table2[[#This Row],[priceWithCurrency]],3)</f>
        <v xml:space="preserve">US </v>
      </c>
      <c r="J520">
        <v>5</v>
      </c>
      <c r="K520" t="str">
        <f>IF(Table2[[#This Row],[Available]]&lt;=50, "Less Stock", "Required stock" )</f>
        <v>Less Stock</v>
      </c>
      <c r="L520">
        <f t="shared" si="8"/>
        <v>1713.5100000000002</v>
      </c>
      <c r="M520" t="s">
        <v>1671</v>
      </c>
      <c r="N520">
        <v>21</v>
      </c>
      <c r="O520" t="s">
        <v>1672</v>
      </c>
      <c r="P520" t="str">
        <f>RIGHT(RIGHT(Table2[[#This Row],[last Updated]],12),4)</f>
        <v xml:space="preserve"> PDT</v>
      </c>
      <c r="Q520" t="s">
        <v>768</v>
      </c>
    </row>
    <row r="521" spans="1:17" x14ac:dyDescent="0.25">
      <c r="A521" t="s">
        <v>728</v>
      </c>
      <c r="B521" t="str">
        <f>UPPER(Table2[[#This Row],[Brand]])</f>
        <v>TOMMY BAHAMA</v>
      </c>
      <c r="C521" t="str">
        <f>LOWER(Table2[[#This Row],[Brand]])</f>
        <v>tommy bahama</v>
      </c>
      <c r="D521" t="str">
        <f>PROPER(Table2[[#This Row],[Brand]])</f>
        <v>Tommy Bahama</v>
      </c>
      <c r="E521" t="s">
        <v>374</v>
      </c>
      <c r="F521">
        <v>32.619999999999997</v>
      </c>
      <c r="G521" t="s">
        <v>1673</v>
      </c>
      <c r="H52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$32.62</v>
      </c>
      <c r="I521" t="str">
        <f>LEFT(Table2[[#This Row],[priceWithCurrency]],3)</f>
        <v xml:space="preserve">US </v>
      </c>
      <c r="J521">
        <v>10</v>
      </c>
      <c r="K521" t="str">
        <f>IF(Table2[[#This Row],[Available]]&lt;=50, "Less Stock", "Required stock" )</f>
        <v>Less Stock</v>
      </c>
      <c r="L521">
        <f t="shared" si="8"/>
        <v>941.61</v>
      </c>
      <c r="M521" t="s">
        <v>1674</v>
      </c>
      <c r="N521">
        <v>242</v>
      </c>
      <c r="O521" t="s">
        <v>1675</v>
      </c>
      <c r="P521" t="str">
        <f>RIGHT(RIGHT(Table2[[#This Row],[last Updated]],12),4)</f>
        <v xml:space="preserve"> PDT</v>
      </c>
      <c r="Q521" t="s">
        <v>108</v>
      </c>
    </row>
    <row r="522" spans="1:17" x14ac:dyDescent="0.25">
      <c r="A522" t="s">
        <v>208</v>
      </c>
      <c r="B522" t="str">
        <f>UPPER(Table2[[#This Row],[Brand]])</f>
        <v>POLO RALPH LAUREN</v>
      </c>
      <c r="C522" t="str">
        <f>LOWER(Table2[[#This Row],[Brand]])</f>
        <v>polo ralph lauren</v>
      </c>
      <c r="D522" t="str">
        <f>PROPER(Table2[[#This Row],[Brand]])</f>
        <v>Polo Ralph Lauren</v>
      </c>
      <c r="E522" t="s">
        <v>4</v>
      </c>
      <c r="F522">
        <v>37.590000000000003</v>
      </c>
      <c r="G522" t="s">
        <v>1676</v>
      </c>
      <c r="H52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$37.59</v>
      </c>
      <c r="I522" t="str">
        <f>LEFT(Table2[[#This Row],[priceWithCurrency]],3)</f>
        <v xml:space="preserve">US </v>
      </c>
      <c r="J522">
        <v>10</v>
      </c>
      <c r="K522" t="str">
        <f>IF(Table2[[#This Row],[Available]]&lt;=50, "Less Stock", "Required stock" )</f>
        <v>Less Stock</v>
      </c>
      <c r="L522">
        <f t="shared" si="8"/>
        <v>152.56</v>
      </c>
      <c r="M522" t="s">
        <v>1065</v>
      </c>
      <c r="N522">
        <v>78</v>
      </c>
      <c r="O522" t="s">
        <v>1677</v>
      </c>
      <c r="P522" t="str">
        <f>RIGHT(RIGHT(Table2[[#This Row],[last Updated]],12),4)</f>
        <v xml:space="preserve"> PDT</v>
      </c>
      <c r="Q522" t="s">
        <v>226</v>
      </c>
    </row>
    <row r="523" spans="1:17" x14ac:dyDescent="0.25">
      <c r="A523" t="s">
        <v>56</v>
      </c>
      <c r="B523" t="str">
        <f>UPPER(Table2[[#This Row],[Brand]])</f>
        <v>RALPH LAUREN</v>
      </c>
      <c r="C523" t="str">
        <f>LOWER(Table2[[#This Row],[Brand]])</f>
        <v>ralph lauren</v>
      </c>
      <c r="D523" t="str">
        <f>PROPER(Table2[[#This Row],[Brand]])</f>
        <v>Ralph Lauren</v>
      </c>
      <c r="E523" t="s">
        <v>15</v>
      </c>
      <c r="F523">
        <v>29.46</v>
      </c>
      <c r="G523" t="s">
        <v>1678</v>
      </c>
      <c r="H52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$29.46</v>
      </c>
      <c r="I523" t="str">
        <f>LEFT(Table2[[#This Row],[priceWithCurrency]],3)</f>
        <v xml:space="preserve">US </v>
      </c>
      <c r="J523">
        <v>10</v>
      </c>
      <c r="K523" t="str">
        <f>IF(Table2[[#This Row],[Available]]&lt;=50, "Less Stock", "Required stock" )</f>
        <v>Less Stock</v>
      </c>
      <c r="L523">
        <f t="shared" si="8"/>
        <v>1112.5999999999999</v>
      </c>
      <c r="M523" t="s">
        <v>1679</v>
      </c>
      <c r="N523">
        <v>43</v>
      </c>
      <c r="O523" t="s">
        <v>1680</v>
      </c>
      <c r="P523" t="str">
        <f>RIGHT(RIGHT(Table2[[#This Row],[last Updated]],12),4)</f>
        <v xml:space="preserve"> PDT</v>
      </c>
      <c r="Q523" t="s">
        <v>108</v>
      </c>
    </row>
    <row r="524" spans="1:17" x14ac:dyDescent="0.25">
      <c r="A524" t="s">
        <v>612</v>
      </c>
      <c r="B524" t="str">
        <f>UPPER(Table2[[#This Row],[Brand]])</f>
        <v>KARL LAGERFELD</v>
      </c>
      <c r="C524" t="str">
        <f>LOWER(Table2[[#This Row],[Brand]])</f>
        <v>karl lagerfeld</v>
      </c>
      <c r="D524" t="str">
        <f>PROPER(Table2[[#This Row],[Brand]])</f>
        <v>Karl Lagerfeld</v>
      </c>
      <c r="E524" t="s">
        <v>15</v>
      </c>
      <c r="F524">
        <v>25.1</v>
      </c>
      <c r="G524" t="s">
        <v>1681</v>
      </c>
      <c r="H52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$25.10</v>
      </c>
      <c r="I524" t="str">
        <f>LEFT(Table2[[#This Row],[priceWithCurrency]],3)</f>
        <v xml:space="preserve">US </v>
      </c>
      <c r="K524" t="str">
        <f>IF(Table2[[#This Row],[Available]]&lt;=50, "Less Stock", "Required stock" )</f>
        <v>Less Stock</v>
      </c>
      <c r="L524">
        <f t="shared" si="8"/>
        <v>1754.39</v>
      </c>
      <c r="M524" t="s">
        <v>1682</v>
      </c>
      <c r="N524">
        <v>5076</v>
      </c>
      <c r="O524" t="s">
        <v>1683</v>
      </c>
      <c r="P524" t="str">
        <f>RIGHT(RIGHT(Table2[[#This Row],[last Updated]],12),4)</f>
        <v xml:space="preserve"> PDT</v>
      </c>
      <c r="Q524" t="s">
        <v>108</v>
      </c>
    </row>
    <row r="525" spans="1:17" x14ac:dyDescent="0.25">
      <c r="A525" t="s">
        <v>20</v>
      </c>
      <c r="B525" t="str">
        <f>UPPER(Table2[[#This Row],[Brand]])</f>
        <v>GIORGIO ARMANI</v>
      </c>
      <c r="C525" t="str">
        <f>LOWER(Table2[[#This Row],[Brand]])</f>
        <v>giorgio armani</v>
      </c>
      <c r="D525" t="str">
        <f>PROPER(Table2[[#This Row],[Brand]])</f>
        <v>Giorgio Armani</v>
      </c>
      <c r="E525" t="s">
        <v>15</v>
      </c>
      <c r="F525">
        <v>29.99</v>
      </c>
      <c r="G525" t="s">
        <v>91</v>
      </c>
      <c r="H52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$29.99</v>
      </c>
      <c r="I525" t="str">
        <f>LEFT(Table2[[#This Row],[priceWithCurrency]],3)</f>
        <v xml:space="preserve">US </v>
      </c>
      <c r="J525">
        <v>9</v>
      </c>
      <c r="K525" t="str">
        <f>IF(Table2[[#This Row],[Available]]&lt;=50, "Less Stock", "Required stock" )</f>
        <v>Less Stock</v>
      </c>
      <c r="L525">
        <f t="shared" si="8"/>
        <v>1140.79</v>
      </c>
      <c r="M525" t="s">
        <v>1684</v>
      </c>
      <c r="N525">
        <v>6</v>
      </c>
      <c r="O525" t="s">
        <v>1685</v>
      </c>
      <c r="P525" t="str">
        <f>RIGHT(RIGHT(Table2[[#This Row],[last Updated]],12),4)</f>
        <v xml:space="preserve"> PDT</v>
      </c>
      <c r="Q525" t="s">
        <v>65</v>
      </c>
    </row>
    <row r="526" spans="1:17" x14ac:dyDescent="0.25">
      <c r="A526" t="s">
        <v>56</v>
      </c>
      <c r="B526" t="str">
        <f>UPPER(Table2[[#This Row],[Brand]])</f>
        <v>RALPH LAUREN</v>
      </c>
      <c r="C526" t="str">
        <f>LOWER(Table2[[#This Row],[Brand]])</f>
        <v>ralph lauren</v>
      </c>
      <c r="D526" t="str">
        <f>PROPER(Table2[[#This Row],[Brand]])</f>
        <v>Ralph Lauren</v>
      </c>
      <c r="E526" t="s">
        <v>15</v>
      </c>
      <c r="F526">
        <v>31.99</v>
      </c>
      <c r="G526" t="s">
        <v>1023</v>
      </c>
      <c r="H52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$31.99</v>
      </c>
      <c r="I526" t="str">
        <f>LEFT(Table2[[#This Row],[priceWithCurrency]],3)</f>
        <v xml:space="preserve">US </v>
      </c>
      <c r="J526">
        <v>9</v>
      </c>
      <c r="K526" t="str">
        <f>IF(Table2[[#This Row],[Available]]&lt;=50, "Less Stock", "Required stock" )</f>
        <v>Less Stock</v>
      </c>
      <c r="L526">
        <f t="shared" si="8"/>
        <v>152.56</v>
      </c>
      <c r="M526" t="s">
        <v>1686</v>
      </c>
      <c r="N526">
        <v>35</v>
      </c>
      <c r="O526" t="s">
        <v>1687</v>
      </c>
      <c r="P526" t="str">
        <f>RIGHT(RIGHT(Table2[[#This Row],[last Updated]],12),4)</f>
        <v xml:space="preserve"> PDT</v>
      </c>
      <c r="Q526" t="s">
        <v>108</v>
      </c>
    </row>
    <row r="527" spans="1:17" x14ac:dyDescent="0.25">
      <c r="A527" t="s">
        <v>492</v>
      </c>
      <c r="B527" t="str">
        <f>UPPER(Table2[[#This Row],[Brand]])</f>
        <v>LACOSTE</v>
      </c>
      <c r="C527" t="str">
        <f>LOWER(Table2[[#This Row],[Brand]])</f>
        <v>lacoste</v>
      </c>
      <c r="D527" t="str">
        <f>PROPER(Table2[[#This Row],[Brand]])</f>
        <v>Lacoste</v>
      </c>
      <c r="E527" t="s">
        <v>15</v>
      </c>
      <c r="F527">
        <v>32.5</v>
      </c>
      <c r="G527" t="s">
        <v>1688</v>
      </c>
      <c r="H52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$32.50</v>
      </c>
      <c r="I527" t="str">
        <f>LEFT(Table2[[#This Row],[priceWithCurrency]],3)</f>
        <v xml:space="preserve">US </v>
      </c>
      <c r="J527">
        <v>40</v>
      </c>
      <c r="K527" t="str">
        <f>IF(Table2[[#This Row],[Available]]&lt;=50, "Less Stock", "Required stock" )</f>
        <v>Less Stock</v>
      </c>
      <c r="L527">
        <f t="shared" si="8"/>
        <v>32.130000000000003</v>
      </c>
      <c r="M527" t="s">
        <v>1689</v>
      </c>
      <c r="N527">
        <v>634</v>
      </c>
      <c r="O527" t="s">
        <v>1690</v>
      </c>
      <c r="P527" t="str">
        <f>RIGHT(RIGHT(Table2[[#This Row],[last Updated]],12),4)</f>
        <v xml:space="preserve"> PDT</v>
      </c>
      <c r="Q527" t="s">
        <v>121</v>
      </c>
    </row>
    <row r="528" spans="1:17" x14ac:dyDescent="0.25">
      <c r="A528" t="s">
        <v>20</v>
      </c>
      <c r="B528" t="str">
        <f>UPPER(Table2[[#This Row],[Brand]])</f>
        <v>GIORGIO ARMANI</v>
      </c>
      <c r="C528" t="str">
        <f>LOWER(Table2[[#This Row],[Brand]])</f>
        <v>giorgio armani</v>
      </c>
      <c r="D528" t="str">
        <f>PROPER(Table2[[#This Row],[Brand]])</f>
        <v>Giorgio Armani</v>
      </c>
      <c r="E528" t="s">
        <v>15</v>
      </c>
      <c r="F528">
        <v>48.95</v>
      </c>
      <c r="G528" t="s">
        <v>1088</v>
      </c>
      <c r="H52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$48.95</v>
      </c>
      <c r="I528" t="str">
        <f>LEFT(Table2[[#This Row],[priceWithCurrency]],3)</f>
        <v xml:space="preserve">US </v>
      </c>
      <c r="J528">
        <v>6</v>
      </c>
      <c r="K528" t="str">
        <f>IF(Table2[[#This Row],[Available]]&lt;=50, "Less Stock", "Required stock" )</f>
        <v>Less Stock</v>
      </c>
      <c r="L528">
        <f t="shared" si="8"/>
        <v>1140.79</v>
      </c>
      <c r="M528" t="s">
        <v>1691</v>
      </c>
      <c r="N528">
        <v>40</v>
      </c>
      <c r="O528" t="s">
        <v>1692</v>
      </c>
      <c r="P528" t="str">
        <f>RIGHT(RIGHT(Table2[[#This Row],[last Updated]],12),4)</f>
        <v xml:space="preserve"> PDT</v>
      </c>
      <c r="Q528" t="s">
        <v>1693</v>
      </c>
    </row>
    <row r="529" spans="1:17" x14ac:dyDescent="0.25">
      <c r="A529" t="s">
        <v>79</v>
      </c>
      <c r="B529" t="str">
        <f>UPPER(Table2[[#This Row],[Brand]])</f>
        <v>PACO RABANNE</v>
      </c>
      <c r="C529" t="str">
        <f>LOWER(Table2[[#This Row],[Brand]])</f>
        <v>paco rabanne</v>
      </c>
      <c r="D529" t="str">
        <f>PROPER(Table2[[#This Row],[Brand]])</f>
        <v>Paco Rabanne</v>
      </c>
      <c r="E529" t="s">
        <v>15</v>
      </c>
      <c r="F529">
        <v>84.6</v>
      </c>
      <c r="G529" t="s">
        <v>1694</v>
      </c>
      <c r="H52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$84.60</v>
      </c>
      <c r="I529" t="str">
        <f>LEFT(Table2[[#This Row],[priceWithCurrency]],3)</f>
        <v xml:space="preserve">US </v>
      </c>
      <c r="K529" t="str">
        <f>IF(Table2[[#This Row],[Available]]&lt;=50, "Less Stock", "Required stock" )</f>
        <v>Less Stock</v>
      </c>
      <c r="L529">
        <f t="shared" si="8"/>
        <v>152.56</v>
      </c>
      <c r="M529" t="s">
        <v>1695</v>
      </c>
      <c r="N529">
        <v>111</v>
      </c>
      <c r="O529" t="s">
        <v>1696</v>
      </c>
      <c r="P529" t="str">
        <f>RIGHT(RIGHT(Table2[[#This Row],[last Updated]],12),4)</f>
        <v xml:space="preserve"> PDT</v>
      </c>
      <c r="Q529" t="s">
        <v>108</v>
      </c>
    </row>
    <row r="530" spans="1:17" x14ac:dyDescent="0.25">
      <c r="A530" t="s">
        <v>846</v>
      </c>
      <c r="B530" t="str">
        <f>UPPER(Table2[[#This Row],[Brand]])</f>
        <v>LALIQUE</v>
      </c>
      <c r="C530" t="str">
        <f>LOWER(Table2[[#This Row],[Brand]])</f>
        <v>lalique</v>
      </c>
      <c r="D530" t="str">
        <f>PROPER(Table2[[#This Row],[Brand]])</f>
        <v>Lalique</v>
      </c>
      <c r="E530" t="s">
        <v>4</v>
      </c>
      <c r="F530">
        <v>27.25</v>
      </c>
      <c r="G530" t="s">
        <v>1697</v>
      </c>
      <c r="H53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$27.25</v>
      </c>
      <c r="I530" t="str">
        <f>LEFT(Table2[[#This Row],[priceWithCurrency]],3)</f>
        <v xml:space="preserve">US </v>
      </c>
      <c r="J530">
        <v>3</v>
      </c>
      <c r="K530" t="str">
        <f>IF(Table2[[#This Row],[Available]]&lt;=50, "Less Stock", "Required stock" )</f>
        <v>Less Stock</v>
      </c>
      <c r="L530">
        <f t="shared" si="8"/>
        <v>1612.84</v>
      </c>
      <c r="M530" t="s">
        <v>203</v>
      </c>
      <c r="N530">
        <v>24</v>
      </c>
      <c r="O530" t="s">
        <v>1698</v>
      </c>
      <c r="P530" t="str">
        <f>RIGHT(RIGHT(Table2[[#This Row],[last Updated]],12),4)</f>
        <v xml:space="preserve"> PDT</v>
      </c>
      <c r="Q530" t="s">
        <v>30</v>
      </c>
    </row>
    <row r="531" spans="1:17" x14ac:dyDescent="0.25">
      <c r="A531" t="s">
        <v>20</v>
      </c>
      <c r="B531" t="str">
        <f>UPPER(Table2[[#This Row],[Brand]])</f>
        <v>GIORGIO ARMANI</v>
      </c>
      <c r="C531" t="str">
        <f>LOWER(Table2[[#This Row],[Brand]])</f>
        <v>giorgio armani</v>
      </c>
      <c r="D531" t="str">
        <f>PROPER(Table2[[#This Row],[Brand]])</f>
        <v>Giorgio Armani</v>
      </c>
      <c r="E531" t="s">
        <v>15</v>
      </c>
      <c r="F531">
        <v>27.5</v>
      </c>
      <c r="G531" t="s">
        <v>1699</v>
      </c>
      <c r="H53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$27.50</v>
      </c>
      <c r="I531" t="str">
        <f>LEFT(Table2[[#This Row],[priceWithCurrency]],3)</f>
        <v xml:space="preserve">US </v>
      </c>
      <c r="J531">
        <v>3</v>
      </c>
      <c r="K531" t="str">
        <f>IF(Table2[[#This Row],[Available]]&lt;=50, "Less Stock", "Required stock" )</f>
        <v>Less Stock</v>
      </c>
      <c r="L531">
        <f t="shared" si="8"/>
        <v>1688.49</v>
      </c>
      <c r="M531" t="s">
        <v>730</v>
      </c>
      <c r="N531">
        <v>18</v>
      </c>
      <c r="O531" t="s">
        <v>1700</v>
      </c>
      <c r="P531" t="str">
        <f>RIGHT(RIGHT(Table2[[#This Row],[last Updated]],12),4)</f>
        <v xml:space="preserve"> PDT</v>
      </c>
      <c r="Q531" t="s">
        <v>65</v>
      </c>
    </row>
    <row r="532" spans="1:17" x14ac:dyDescent="0.25">
      <c r="A532" t="s">
        <v>117</v>
      </c>
      <c r="B532" t="str">
        <f>UPPER(Table2[[#This Row],[Brand]])</f>
        <v>AFNAN</v>
      </c>
      <c r="C532" t="str">
        <f>LOWER(Table2[[#This Row],[Brand]])</f>
        <v>afnan</v>
      </c>
      <c r="D532" t="str">
        <f>PROPER(Table2[[#This Row],[Brand]])</f>
        <v>Afnan</v>
      </c>
      <c r="E532" t="s">
        <v>4</v>
      </c>
      <c r="F532">
        <v>24.43</v>
      </c>
      <c r="G532" t="s">
        <v>284</v>
      </c>
      <c r="H53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$24.43</v>
      </c>
      <c r="I532" t="str">
        <f>LEFT(Table2[[#This Row],[priceWithCurrency]],3)</f>
        <v xml:space="preserve">US </v>
      </c>
      <c r="J532">
        <v>3</v>
      </c>
      <c r="K532" t="str">
        <f>IF(Table2[[#This Row],[Available]]&lt;=50, "Less Stock", "Required stock" )</f>
        <v>Less Stock</v>
      </c>
      <c r="L532">
        <f t="shared" si="8"/>
        <v>1294.1300000000001</v>
      </c>
      <c r="M532" t="s">
        <v>1199</v>
      </c>
      <c r="N532">
        <v>16</v>
      </c>
      <c r="O532" t="s">
        <v>1701</v>
      </c>
      <c r="P532" t="str">
        <f>RIGHT(RIGHT(Table2[[#This Row],[last Updated]],12),4)</f>
        <v xml:space="preserve"> PDT</v>
      </c>
      <c r="Q532" t="s">
        <v>30</v>
      </c>
    </row>
    <row r="533" spans="1:17" x14ac:dyDescent="0.25">
      <c r="A533" t="s">
        <v>20</v>
      </c>
      <c r="B533" t="str">
        <f>UPPER(Table2[[#This Row],[Brand]])</f>
        <v>GIORGIO ARMANI</v>
      </c>
      <c r="C533" t="str">
        <f>LOWER(Table2[[#This Row],[Brand]])</f>
        <v>giorgio armani</v>
      </c>
      <c r="D533" t="str">
        <f>PROPER(Table2[[#This Row],[Brand]])</f>
        <v>Giorgio Armani</v>
      </c>
      <c r="E533" t="s">
        <v>127</v>
      </c>
      <c r="F533">
        <v>128.99</v>
      </c>
      <c r="G533" t="s">
        <v>1702</v>
      </c>
      <c r="H53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$128.99</v>
      </c>
      <c r="I533" t="str">
        <f>LEFT(Table2[[#This Row],[priceWithCurrency]],3)</f>
        <v xml:space="preserve">US </v>
      </c>
      <c r="J533">
        <v>10</v>
      </c>
      <c r="K533" t="str">
        <f>IF(Table2[[#This Row],[Available]]&lt;=50, "Less Stock", "Required stock" )</f>
        <v>Less Stock</v>
      </c>
      <c r="L533">
        <f t="shared" si="8"/>
        <v>1299.8300000000002</v>
      </c>
      <c r="M533" t="s">
        <v>495</v>
      </c>
      <c r="N533">
        <v>9</v>
      </c>
      <c r="O533" t="s">
        <v>1703</v>
      </c>
      <c r="P533" t="str">
        <f>RIGHT(RIGHT(Table2[[#This Row],[last Updated]],12),4)</f>
        <v xml:space="preserve"> PDT</v>
      </c>
      <c r="Q533" t="s">
        <v>480</v>
      </c>
    </row>
    <row r="534" spans="1:17" x14ac:dyDescent="0.25">
      <c r="A534" t="s">
        <v>162</v>
      </c>
      <c r="B534" t="str">
        <f>UPPER(Table2[[#This Row],[Brand]])</f>
        <v>GUY LAROCHE</v>
      </c>
      <c r="C534" t="str">
        <f>LOWER(Table2[[#This Row],[Brand]])</f>
        <v>guy laroche</v>
      </c>
      <c r="D534" t="str">
        <f>PROPER(Table2[[#This Row],[Brand]])</f>
        <v>Guy Laroche</v>
      </c>
      <c r="E534" t="s">
        <v>1704</v>
      </c>
      <c r="F534">
        <v>15.95</v>
      </c>
      <c r="G534" t="s">
        <v>1705</v>
      </c>
      <c r="H53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$15.95</v>
      </c>
      <c r="I534" t="str">
        <f>LEFT(Table2[[#This Row],[priceWithCurrency]],3)</f>
        <v xml:space="preserve">US </v>
      </c>
      <c r="J534">
        <v>10</v>
      </c>
      <c r="K534" t="str">
        <f>IF(Table2[[#This Row],[Available]]&lt;=50, "Less Stock", "Required stock" )</f>
        <v>Less Stock</v>
      </c>
      <c r="L534">
        <f t="shared" si="8"/>
        <v>1299.8300000000002</v>
      </c>
      <c r="M534" t="s">
        <v>1706</v>
      </c>
      <c r="N534">
        <v>257</v>
      </c>
      <c r="O534" t="s">
        <v>1707</v>
      </c>
      <c r="P534" t="str">
        <f>RIGHT(RIGHT(Table2[[#This Row],[last Updated]],12),4)</f>
        <v xml:space="preserve"> PDT</v>
      </c>
      <c r="Q534" t="s">
        <v>1708</v>
      </c>
    </row>
    <row r="535" spans="1:17" x14ac:dyDescent="0.25">
      <c r="A535" t="s">
        <v>1214</v>
      </c>
      <c r="B535" t="str">
        <f>UPPER(Table2[[#This Row],[Brand]])</f>
        <v>VIKTOR &amp; ROLF</v>
      </c>
      <c r="C535" t="str">
        <f>LOWER(Table2[[#This Row],[Brand]])</f>
        <v>viktor &amp; rolf</v>
      </c>
      <c r="D535" t="str">
        <f>PROPER(Table2[[#This Row],[Brand]])</f>
        <v>Viktor &amp; Rolf</v>
      </c>
      <c r="E535" t="s">
        <v>15</v>
      </c>
      <c r="F535">
        <v>68.989999999999995</v>
      </c>
      <c r="G535" t="s">
        <v>81</v>
      </c>
      <c r="H53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$68.99</v>
      </c>
      <c r="I535" t="str">
        <f>LEFT(Table2[[#This Row],[priceWithCurrency]],3)</f>
        <v xml:space="preserve">US </v>
      </c>
      <c r="J535">
        <v>7</v>
      </c>
      <c r="K535" t="str">
        <f>IF(Table2[[#This Row],[Available]]&lt;=50, "Less Stock", "Required stock" )</f>
        <v>Less Stock</v>
      </c>
      <c r="L535">
        <f t="shared" si="8"/>
        <v>1299.8300000000002</v>
      </c>
      <c r="M535" t="s">
        <v>1709</v>
      </c>
      <c r="N535">
        <v>27</v>
      </c>
      <c r="O535" t="s">
        <v>1710</v>
      </c>
      <c r="P535" t="str">
        <f>RIGHT(RIGHT(Table2[[#This Row],[last Updated]],12),4)</f>
        <v xml:space="preserve"> PDT</v>
      </c>
      <c r="Q535" t="s">
        <v>438</v>
      </c>
    </row>
    <row r="536" spans="1:17" x14ac:dyDescent="0.25">
      <c r="A536" t="s">
        <v>525</v>
      </c>
      <c r="B536" t="str">
        <f>UPPER(Table2[[#This Row],[Brand]])</f>
        <v>ZARA</v>
      </c>
      <c r="C536" t="str">
        <f>LOWER(Table2[[#This Row],[Brand]])</f>
        <v>zara</v>
      </c>
      <c r="D536" t="str">
        <f>PROPER(Table2[[#This Row],[Brand]])</f>
        <v>Zara</v>
      </c>
      <c r="E536" t="s">
        <v>4</v>
      </c>
      <c r="F536">
        <v>58.95</v>
      </c>
      <c r="G536" t="s">
        <v>1711</v>
      </c>
      <c r="H53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$58.95</v>
      </c>
      <c r="I536" t="str">
        <f>LEFT(Table2[[#This Row],[priceWithCurrency]],3)</f>
        <v xml:space="preserve">US </v>
      </c>
      <c r="J536">
        <v>5</v>
      </c>
      <c r="K536" t="str">
        <f>IF(Table2[[#This Row],[Available]]&lt;=50, "Less Stock", "Required stock" )</f>
        <v>Less Stock</v>
      </c>
      <c r="L536">
        <f t="shared" si="8"/>
        <v>1599.5400000000002</v>
      </c>
      <c r="M536" t="s">
        <v>1712</v>
      </c>
      <c r="N536">
        <v>12</v>
      </c>
      <c r="O536" t="s">
        <v>1713</v>
      </c>
      <c r="P536" t="str">
        <f>RIGHT(RIGHT(Table2[[#This Row],[last Updated]],12),4)</f>
        <v xml:space="preserve"> PDT</v>
      </c>
      <c r="Q536" t="s">
        <v>528</v>
      </c>
    </row>
    <row r="537" spans="1:17" x14ac:dyDescent="0.25">
      <c r="A537" t="s">
        <v>90</v>
      </c>
      <c r="B537" t="str">
        <f>UPPER(Table2[[#This Row],[Brand]])</f>
        <v>ARMAF</v>
      </c>
      <c r="C537" t="str">
        <f>LOWER(Table2[[#This Row],[Brand]])</f>
        <v>armaf</v>
      </c>
      <c r="D537" t="str">
        <f>PROPER(Table2[[#This Row],[Brand]])</f>
        <v>Armaf</v>
      </c>
      <c r="E537" t="s">
        <v>4</v>
      </c>
      <c r="F537">
        <v>33.99</v>
      </c>
      <c r="G537" t="s">
        <v>1714</v>
      </c>
      <c r="H53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$33.99</v>
      </c>
      <c r="I537" t="str">
        <f>LEFT(Table2[[#This Row],[priceWithCurrency]],3)</f>
        <v xml:space="preserve">US </v>
      </c>
      <c r="J537">
        <v>22</v>
      </c>
      <c r="K537" t="str">
        <f>IF(Table2[[#This Row],[Available]]&lt;=50, "Less Stock", "Required stock" )</f>
        <v>Less Stock</v>
      </c>
      <c r="L537">
        <f t="shared" si="8"/>
        <v>1599.5400000000002</v>
      </c>
      <c r="M537" t="s">
        <v>1715</v>
      </c>
      <c r="N537">
        <v>2</v>
      </c>
      <c r="O537" t="s">
        <v>1716</v>
      </c>
      <c r="P537" t="str">
        <f>RIGHT(RIGHT(Table2[[#This Row],[last Updated]],12),4)</f>
        <v xml:space="preserve"> PDT</v>
      </c>
      <c r="Q537" t="s">
        <v>89</v>
      </c>
    </row>
    <row r="538" spans="1:17" x14ac:dyDescent="0.25">
      <c r="A538" t="s">
        <v>1717</v>
      </c>
      <c r="B538" t="str">
        <f>UPPER(Table2[[#This Row],[Brand]])</f>
        <v>MILESTONE PERFUMES</v>
      </c>
      <c r="C538" t="str">
        <f>LOWER(Table2[[#This Row],[Brand]])</f>
        <v>milestone perfumes</v>
      </c>
      <c r="D538" t="str">
        <f>PROPER(Table2[[#This Row],[Brand]])</f>
        <v>Milestone Perfumes</v>
      </c>
      <c r="E538" t="s">
        <v>4</v>
      </c>
      <c r="F538">
        <v>34.99</v>
      </c>
      <c r="G538" t="s">
        <v>1718</v>
      </c>
      <c r="H53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$34.99</v>
      </c>
      <c r="I538" t="str">
        <f>LEFT(Table2[[#This Row],[priceWithCurrency]],3)</f>
        <v xml:space="preserve">US </v>
      </c>
      <c r="J538">
        <v>8</v>
      </c>
      <c r="K538" t="str">
        <f>IF(Table2[[#This Row],[Available]]&lt;=50, "Less Stock", "Required stock" )</f>
        <v>Less Stock</v>
      </c>
      <c r="L538">
        <f t="shared" si="8"/>
        <v>1599.5400000000002</v>
      </c>
      <c r="M538" t="s">
        <v>1719</v>
      </c>
      <c r="N538">
        <v>4</v>
      </c>
      <c r="P538" t="str">
        <f>RIGHT(RIGHT(Table2[[#This Row],[last Updated]],12),4)</f>
        <v/>
      </c>
      <c r="Q538" t="s">
        <v>1720</v>
      </c>
    </row>
    <row r="539" spans="1:17" x14ac:dyDescent="0.25">
      <c r="A539" t="s">
        <v>769</v>
      </c>
      <c r="B539" t="str">
        <f>UPPER(Table2[[#This Row],[Brand]])</f>
        <v>ISSEY MIYAKE</v>
      </c>
      <c r="C539" t="str">
        <f>LOWER(Table2[[#This Row],[Brand]])</f>
        <v>issey miyake</v>
      </c>
      <c r="D539" t="str">
        <f>PROPER(Table2[[#This Row],[Brand]])</f>
        <v>Issey Miyake</v>
      </c>
      <c r="E539" t="s">
        <v>15</v>
      </c>
      <c r="F539">
        <v>26.95</v>
      </c>
      <c r="G539" t="s">
        <v>1721</v>
      </c>
      <c r="H53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$26.95</v>
      </c>
      <c r="I539" t="str">
        <f>LEFT(Table2[[#This Row],[priceWithCurrency]],3)</f>
        <v xml:space="preserve">US </v>
      </c>
      <c r="J539">
        <v>4</v>
      </c>
      <c r="K539" t="str">
        <f>IF(Table2[[#This Row],[Available]]&lt;=50, "Less Stock", "Required stock" )</f>
        <v>Less Stock</v>
      </c>
      <c r="L539">
        <f t="shared" si="8"/>
        <v>154.97</v>
      </c>
      <c r="M539" t="s">
        <v>1722</v>
      </c>
      <c r="N539">
        <v>5</v>
      </c>
      <c r="P539" t="str">
        <f>RIGHT(RIGHT(Table2[[#This Row],[last Updated]],12),4)</f>
        <v/>
      </c>
      <c r="Q539" t="s">
        <v>1075</v>
      </c>
    </row>
    <row r="540" spans="1:17" x14ac:dyDescent="0.25">
      <c r="A540" t="s">
        <v>1723</v>
      </c>
      <c r="B540" t="str">
        <f>UPPER(Table2[[#This Row],[Brand]])</f>
        <v>KENZO</v>
      </c>
      <c r="C540" t="str">
        <f>LOWER(Table2[[#This Row],[Brand]])</f>
        <v>kenzo</v>
      </c>
      <c r="D540" t="str">
        <f>PROPER(Table2[[#This Row],[Brand]])</f>
        <v>Kenzo</v>
      </c>
      <c r="E540" t="s">
        <v>15</v>
      </c>
      <c r="F540">
        <v>47.99</v>
      </c>
      <c r="G540" t="s">
        <v>878</v>
      </c>
      <c r="H54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$47.99</v>
      </c>
      <c r="I540" t="str">
        <f>LEFT(Table2[[#This Row],[priceWithCurrency]],3)</f>
        <v xml:space="preserve">US </v>
      </c>
      <c r="J540">
        <v>10</v>
      </c>
      <c r="K540" t="str">
        <f>IF(Table2[[#This Row],[Available]]&lt;=50, "Less Stock", "Required stock" )</f>
        <v>Less Stock</v>
      </c>
      <c r="L540">
        <f t="shared" si="8"/>
        <v>1280.54</v>
      </c>
      <c r="M540" t="s">
        <v>1724</v>
      </c>
      <c r="N540">
        <v>165</v>
      </c>
      <c r="O540" t="s">
        <v>1725</v>
      </c>
      <c r="P540" t="str">
        <f>RIGHT(RIGHT(Table2[[#This Row],[last Updated]],12),4)</f>
        <v xml:space="preserve"> PDT</v>
      </c>
      <c r="Q540" t="s">
        <v>131</v>
      </c>
    </row>
    <row r="541" spans="1:17" x14ac:dyDescent="0.25">
      <c r="A541" t="s">
        <v>1726</v>
      </c>
      <c r="B541" t="str">
        <f>UPPER(Table2[[#This Row],[Brand]])</f>
        <v>MERCEDES-BENZ</v>
      </c>
      <c r="C541" t="str">
        <f>LOWER(Table2[[#This Row],[Brand]])</f>
        <v>mercedes-benz</v>
      </c>
      <c r="D541" t="str">
        <f>PROPER(Table2[[#This Row],[Brand]])</f>
        <v>Mercedes-Benz</v>
      </c>
      <c r="E541" t="s">
        <v>15</v>
      </c>
      <c r="F541">
        <v>49.81</v>
      </c>
      <c r="G541" t="s">
        <v>1727</v>
      </c>
      <c r="H54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$49.81</v>
      </c>
      <c r="I541" t="str">
        <f>LEFT(Table2[[#This Row],[priceWithCurrency]],3)</f>
        <v xml:space="preserve">US </v>
      </c>
      <c r="J541">
        <v>3</v>
      </c>
      <c r="K541" t="str">
        <f>IF(Table2[[#This Row],[Available]]&lt;=50, "Less Stock", "Required stock" )</f>
        <v>Less Stock</v>
      </c>
      <c r="L541">
        <f t="shared" si="8"/>
        <v>1280.54</v>
      </c>
      <c r="M541" t="s">
        <v>1728</v>
      </c>
      <c r="N541">
        <v>15</v>
      </c>
      <c r="O541" t="s">
        <v>1729</v>
      </c>
      <c r="P541" t="str">
        <f>RIGHT(RIGHT(Table2[[#This Row],[last Updated]],12),4)</f>
        <v xml:space="preserve"> PDT</v>
      </c>
      <c r="Q541" t="s">
        <v>30</v>
      </c>
    </row>
    <row r="542" spans="1:17" x14ac:dyDescent="0.25">
      <c r="A542" t="s">
        <v>71</v>
      </c>
      <c r="B542" t="str">
        <f>UPPER(Table2[[#This Row],[Brand]])</f>
        <v>AS SHOW</v>
      </c>
      <c r="C542" t="str">
        <f>LOWER(Table2[[#This Row],[Brand]])</f>
        <v>as show</v>
      </c>
      <c r="D542" t="str">
        <f>PROPER(Table2[[#This Row],[Brand]])</f>
        <v>As Show</v>
      </c>
      <c r="E542" t="s">
        <v>15</v>
      </c>
      <c r="F542">
        <v>35.99</v>
      </c>
      <c r="G542" t="s">
        <v>287</v>
      </c>
      <c r="H54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$35.99</v>
      </c>
      <c r="I542" t="str">
        <f>LEFT(Table2[[#This Row],[priceWithCurrency]],3)</f>
        <v xml:space="preserve">US </v>
      </c>
      <c r="J542">
        <v>10</v>
      </c>
      <c r="K542" t="str">
        <f>IF(Table2[[#This Row],[Available]]&lt;=50, "Less Stock", "Required stock" )</f>
        <v>Less Stock</v>
      </c>
      <c r="L542">
        <f t="shared" si="8"/>
        <v>110.08</v>
      </c>
      <c r="M542" t="s">
        <v>1730</v>
      </c>
      <c r="N542">
        <v>46</v>
      </c>
      <c r="O542" t="s">
        <v>1731</v>
      </c>
      <c r="P542" t="str">
        <f>RIGHT(RIGHT(Table2[[#This Row],[last Updated]],12),4)</f>
        <v xml:space="preserve"> PDT</v>
      </c>
      <c r="Q542" t="s">
        <v>1732</v>
      </c>
    </row>
    <row r="543" spans="1:17" x14ac:dyDescent="0.25">
      <c r="A543" t="s">
        <v>90</v>
      </c>
      <c r="B543" t="str">
        <f>UPPER(Table2[[#This Row],[Brand]])</f>
        <v>ARMAF</v>
      </c>
      <c r="C543" t="str">
        <f>LOWER(Table2[[#This Row],[Brand]])</f>
        <v>armaf</v>
      </c>
      <c r="D543" t="str">
        <f>PROPER(Table2[[#This Row],[Brand]])</f>
        <v>Armaf</v>
      </c>
      <c r="E543" t="s">
        <v>1733</v>
      </c>
      <c r="F543">
        <v>62.99</v>
      </c>
      <c r="G543" t="s">
        <v>1734</v>
      </c>
      <c r="H54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$62.99</v>
      </c>
      <c r="I543" t="str">
        <f>LEFT(Table2[[#This Row],[priceWithCurrency]],3)</f>
        <v xml:space="preserve">US </v>
      </c>
      <c r="J543">
        <v>3</v>
      </c>
      <c r="K543" t="str">
        <f>IF(Table2[[#This Row],[Available]]&lt;=50, "Less Stock", "Required stock" )</f>
        <v>Less Stock</v>
      </c>
      <c r="L543">
        <f t="shared" si="8"/>
        <v>242.55</v>
      </c>
      <c r="M543" t="s">
        <v>752</v>
      </c>
      <c r="N543">
        <v>61</v>
      </c>
      <c r="O543" t="s">
        <v>1735</v>
      </c>
      <c r="P543" t="str">
        <f>RIGHT(RIGHT(Table2[[#This Row],[last Updated]],12),4)</f>
        <v xml:space="preserve"> PDT</v>
      </c>
      <c r="Q543" t="s">
        <v>438</v>
      </c>
    </row>
    <row r="544" spans="1:17" x14ac:dyDescent="0.25">
      <c r="A544" t="s">
        <v>270</v>
      </c>
      <c r="B544" t="str">
        <f>UPPER(Table2[[#This Row],[Brand]])</f>
        <v>YVES SAINT LAURENT</v>
      </c>
      <c r="C544" t="str">
        <f>LOWER(Table2[[#This Row],[Brand]])</f>
        <v>yves saint laurent</v>
      </c>
      <c r="D544" t="str">
        <f>PROPER(Table2[[#This Row],[Brand]])</f>
        <v>Yves Saint Laurent</v>
      </c>
      <c r="E544" t="s">
        <v>32</v>
      </c>
      <c r="F544">
        <v>25.95</v>
      </c>
      <c r="G544" t="s">
        <v>1173</v>
      </c>
      <c r="H54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$25.95</v>
      </c>
      <c r="I544" t="str">
        <f>LEFT(Table2[[#This Row],[priceWithCurrency]],3)</f>
        <v xml:space="preserve">US </v>
      </c>
      <c r="J544">
        <v>10</v>
      </c>
      <c r="K544" t="str">
        <f>IF(Table2[[#This Row],[Available]]&lt;=50, "Less Stock", "Required stock" )</f>
        <v>Less Stock</v>
      </c>
      <c r="L544">
        <f t="shared" si="8"/>
        <v>1424.23</v>
      </c>
      <c r="M544" t="s">
        <v>305</v>
      </c>
      <c r="N544">
        <v>2</v>
      </c>
      <c r="O544" t="s">
        <v>1736</v>
      </c>
      <c r="P544" t="str">
        <f>RIGHT(RIGHT(Table2[[#This Row],[last Updated]],12),4)</f>
        <v xml:space="preserve"> PDT</v>
      </c>
      <c r="Q544" t="s">
        <v>1737</v>
      </c>
    </row>
    <row r="545" spans="1:17" x14ac:dyDescent="0.25">
      <c r="A545" t="s">
        <v>846</v>
      </c>
      <c r="B545" t="str">
        <f>UPPER(Table2[[#This Row],[Brand]])</f>
        <v>LALIQUE</v>
      </c>
      <c r="C545" t="str">
        <f>LOWER(Table2[[#This Row],[Brand]])</f>
        <v>lalique</v>
      </c>
      <c r="D545" t="str">
        <f>PROPER(Table2[[#This Row],[Brand]])</f>
        <v>Lalique</v>
      </c>
      <c r="E545" t="s">
        <v>4</v>
      </c>
      <c r="F545">
        <v>28.19</v>
      </c>
      <c r="G545" t="s">
        <v>1738</v>
      </c>
      <c r="H54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$28.19</v>
      </c>
      <c r="I545" t="str">
        <f>LEFT(Table2[[#This Row],[priceWithCurrency]],3)</f>
        <v xml:space="preserve">US </v>
      </c>
      <c r="J545">
        <v>3</v>
      </c>
      <c r="K545" t="str">
        <f>IF(Table2[[#This Row],[Available]]&lt;=50, "Less Stock", "Required stock" )</f>
        <v>Less Stock</v>
      </c>
      <c r="L545">
        <f t="shared" si="8"/>
        <v>1467.4</v>
      </c>
      <c r="M545" t="s">
        <v>1541</v>
      </c>
      <c r="N545">
        <v>10</v>
      </c>
      <c r="O545" t="s">
        <v>1739</v>
      </c>
      <c r="P545" t="str">
        <f>RIGHT(RIGHT(Table2[[#This Row],[last Updated]],12),4)</f>
        <v xml:space="preserve"> PDT</v>
      </c>
      <c r="Q545" t="s">
        <v>30</v>
      </c>
    </row>
    <row r="546" spans="1:17" x14ac:dyDescent="0.25">
      <c r="A546" t="s">
        <v>860</v>
      </c>
      <c r="B546" t="str">
        <f>UPPER(Table2[[#This Row],[Brand]])</f>
        <v>LIZ CLAIBORNE</v>
      </c>
      <c r="C546" t="str">
        <f>LOWER(Table2[[#This Row],[Brand]])</f>
        <v>liz claiborne</v>
      </c>
      <c r="D546" t="str">
        <f>PROPER(Table2[[#This Row],[Brand]])</f>
        <v>Liz Claiborne</v>
      </c>
      <c r="E546" t="s">
        <v>1740</v>
      </c>
      <c r="F546">
        <v>17.02</v>
      </c>
      <c r="G546" t="s">
        <v>1741</v>
      </c>
      <c r="H54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$17.02</v>
      </c>
      <c r="I546" t="str">
        <f>LEFT(Table2[[#This Row],[priceWithCurrency]],3)</f>
        <v xml:space="preserve">US </v>
      </c>
      <c r="J546">
        <v>73</v>
      </c>
      <c r="K546" t="str">
        <f>IF(Table2[[#This Row],[Available]]&lt;=50, "Less Stock", "Required stock" )</f>
        <v>Required stock</v>
      </c>
      <c r="L546">
        <f t="shared" si="8"/>
        <v>1630.46</v>
      </c>
      <c r="M546" t="s">
        <v>1742</v>
      </c>
      <c r="N546">
        <v>3823</v>
      </c>
      <c r="O546" t="s">
        <v>1743</v>
      </c>
      <c r="P546" t="str">
        <f>RIGHT(RIGHT(Table2[[#This Row],[last Updated]],12),4)</f>
        <v xml:space="preserve"> PDT</v>
      </c>
      <c r="Q546" t="s">
        <v>121</v>
      </c>
    </row>
    <row r="547" spans="1:17" x14ac:dyDescent="0.25">
      <c r="A547" t="s">
        <v>195</v>
      </c>
      <c r="B547" t="str">
        <f>UPPER(Table2[[#This Row],[Brand]])</f>
        <v>GIVENCHY</v>
      </c>
      <c r="C547" t="str">
        <f>LOWER(Table2[[#This Row],[Brand]])</f>
        <v>givenchy</v>
      </c>
      <c r="D547" t="str">
        <f>PROPER(Table2[[#This Row],[Brand]])</f>
        <v>Givenchy</v>
      </c>
      <c r="E547" t="s">
        <v>1339</v>
      </c>
      <c r="F547">
        <v>44.99</v>
      </c>
      <c r="G547" t="s">
        <v>1102</v>
      </c>
      <c r="H54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$44.99</v>
      </c>
      <c r="I547" t="str">
        <f>LEFT(Table2[[#This Row],[priceWithCurrency]],3)</f>
        <v xml:space="preserve">US </v>
      </c>
      <c r="J547">
        <v>10</v>
      </c>
      <c r="K547" t="str">
        <f>IF(Table2[[#This Row],[Available]]&lt;=50, "Less Stock", "Required stock" )</f>
        <v>Less Stock</v>
      </c>
      <c r="L547">
        <f t="shared" si="8"/>
        <v>1462.64</v>
      </c>
      <c r="M547" t="s">
        <v>1744</v>
      </c>
      <c r="N547">
        <v>32</v>
      </c>
      <c r="O547" t="s">
        <v>1745</v>
      </c>
      <c r="P547" t="str">
        <f>RIGHT(RIGHT(Table2[[#This Row],[last Updated]],12),4)</f>
        <v xml:space="preserve"> PDT</v>
      </c>
      <c r="Q547" t="s">
        <v>89</v>
      </c>
    </row>
    <row r="548" spans="1:17" x14ac:dyDescent="0.25">
      <c r="A548" t="s">
        <v>14</v>
      </c>
      <c r="B548" t="str">
        <f>UPPER(Table2[[#This Row],[Brand]])</f>
        <v>UNBRANDED</v>
      </c>
      <c r="C548" t="str">
        <f>LOWER(Table2[[#This Row],[Brand]])</f>
        <v>unbranded</v>
      </c>
      <c r="D548" t="str">
        <f>PROPER(Table2[[#This Row],[Brand]])</f>
        <v>Unbranded</v>
      </c>
      <c r="E548" t="s">
        <v>32</v>
      </c>
      <c r="F548">
        <v>15.99</v>
      </c>
      <c r="G548" t="s">
        <v>67</v>
      </c>
      <c r="H54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$15.99</v>
      </c>
      <c r="I548" t="str">
        <f>LEFT(Table2[[#This Row],[priceWithCurrency]],3)</f>
        <v xml:space="preserve">US </v>
      </c>
      <c r="J548">
        <v>10</v>
      </c>
      <c r="K548" t="str">
        <f>IF(Table2[[#This Row],[Available]]&lt;=50, "Less Stock", "Required stock" )</f>
        <v>Less Stock</v>
      </c>
      <c r="L548">
        <f t="shared" si="8"/>
        <v>1462.64</v>
      </c>
      <c r="M548" t="s">
        <v>1746</v>
      </c>
      <c r="N548">
        <v>136</v>
      </c>
      <c r="O548" t="s">
        <v>1747</v>
      </c>
      <c r="P548" t="str">
        <f>RIGHT(RIGHT(Table2[[#This Row],[last Updated]],12),4)</f>
        <v xml:space="preserve"> PDT</v>
      </c>
      <c r="Q548" t="s">
        <v>36</v>
      </c>
    </row>
    <row r="549" spans="1:17" x14ac:dyDescent="0.25">
      <c r="A549" t="s">
        <v>180</v>
      </c>
      <c r="B549" t="str">
        <f>UPPER(Table2[[#This Row],[Brand]])</f>
        <v>CALVIN KLEIN</v>
      </c>
      <c r="C549" t="str">
        <f>LOWER(Table2[[#This Row],[Brand]])</f>
        <v>calvin klein</v>
      </c>
      <c r="D549" t="str">
        <f>PROPER(Table2[[#This Row],[Brand]])</f>
        <v>Calvin Klein</v>
      </c>
      <c r="E549" t="s">
        <v>646</v>
      </c>
      <c r="F549">
        <v>23.79</v>
      </c>
      <c r="G549" t="s">
        <v>1748</v>
      </c>
      <c r="H54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$23.79</v>
      </c>
      <c r="I549" t="str">
        <f>LEFT(Table2[[#This Row],[priceWithCurrency]],3)</f>
        <v xml:space="preserve">US </v>
      </c>
      <c r="J549">
        <v>5</v>
      </c>
      <c r="K549" t="str">
        <f>IF(Table2[[#This Row],[Available]]&lt;=50, "Less Stock", "Required stock" )</f>
        <v>Less Stock</v>
      </c>
      <c r="L549">
        <f t="shared" si="8"/>
        <v>1462.64</v>
      </c>
      <c r="M549" t="s">
        <v>1749</v>
      </c>
      <c r="N549">
        <v>83</v>
      </c>
      <c r="O549" t="s">
        <v>1750</v>
      </c>
      <c r="P549" t="str">
        <f>RIGHT(RIGHT(Table2[[#This Row],[last Updated]],12),4)</f>
        <v xml:space="preserve"> PDT</v>
      </c>
      <c r="Q549" t="s">
        <v>226</v>
      </c>
    </row>
    <row r="550" spans="1:17" x14ac:dyDescent="0.25">
      <c r="A550" t="s">
        <v>20</v>
      </c>
      <c r="B550" t="str">
        <f>UPPER(Table2[[#This Row],[Brand]])</f>
        <v>GIORGIO ARMANI</v>
      </c>
      <c r="C550" t="str">
        <f>LOWER(Table2[[#This Row],[Brand]])</f>
        <v>giorgio armani</v>
      </c>
      <c r="D550" t="str">
        <f>PROPER(Table2[[#This Row],[Brand]])</f>
        <v>Giorgio Armani</v>
      </c>
      <c r="E550" t="s">
        <v>15</v>
      </c>
      <c r="F550">
        <v>54.99</v>
      </c>
      <c r="G550" t="s">
        <v>185</v>
      </c>
      <c r="H55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$54.99</v>
      </c>
      <c r="I550" t="str">
        <f>LEFT(Table2[[#This Row],[priceWithCurrency]],3)</f>
        <v xml:space="preserve">US </v>
      </c>
      <c r="J550">
        <v>10</v>
      </c>
      <c r="K550" t="str">
        <f>IF(Table2[[#This Row],[Available]]&lt;=50, "Less Stock", "Required stock" )</f>
        <v>Less Stock</v>
      </c>
      <c r="L550">
        <f t="shared" si="8"/>
        <v>1462.64</v>
      </c>
      <c r="M550" t="s">
        <v>1751</v>
      </c>
      <c r="N550">
        <v>384</v>
      </c>
      <c r="O550" t="s">
        <v>1752</v>
      </c>
      <c r="P550" t="str">
        <f>RIGHT(RIGHT(Table2[[#This Row],[last Updated]],12),4)</f>
        <v xml:space="preserve"> PDT</v>
      </c>
      <c r="Q550" t="s">
        <v>89</v>
      </c>
    </row>
    <row r="551" spans="1:17" x14ac:dyDescent="0.25">
      <c r="A551" t="s">
        <v>79</v>
      </c>
      <c r="B551" t="str">
        <f>UPPER(Table2[[#This Row],[Brand]])</f>
        <v>PACO RABANNE</v>
      </c>
      <c r="C551" t="str">
        <f>LOWER(Table2[[#This Row],[Brand]])</f>
        <v>paco rabanne</v>
      </c>
      <c r="D551" t="str">
        <f>PROPER(Table2[[#This Row],[Brand]])</f>
        <v>Paco Rabanne</v>
      </c>
      <c r="E551" t="s">
        <v>15</v>
      </c>
      <c r="F551">
        <v>36.65</v>
      </c>
      <c r="G551" t="s">
        <v>1753</v>
      </c>
      <c r="H55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$36.65</v>
      </c>
      <c r="I551" t="str">
        <f>LEFT(Table2[[#This Row],[priceWithCurrency]],3)</f>
        <v xml:space="preserve">US </v>
      </c>
      <c r="J551">
        <v>3</v>
      </c>
      <c r="K551" t="str">
        <f>IF(Table2[[#This Row],[Available]]&lt;=50, "Less Stock", "Required stock" )</f>
        <v>Less Stock</v>
      </c>
      <c r="L551">
        <f t="shared" si="8"/>
        <v>1436.68</v>
      </c>
      <c r="M551" t="s">
        <v>837</v>
      </c>
      <c r="N551">
        <v>11</v>
      </c>
      <c r="O551" t="s">
        <v>1754</v>
      </c>
      <c r="P551" t="str">
        <f>RIGHT(RIGHT(Table2[[#This Row],[last Updated]],12),4)</f>
        <v xml:space="preserve"> PDT</v>
      </c>
      <c r="Q551" t="s">
        <v>30</v>
      </c>
    </row>
    <row r="552" spans="1:17" x14ac:dyDescent="0.25">
      <c r="A552" t="s">
        <v>219</v>
      </c>
      <c r="B552" t="str">
        <f>UPPER(Table2[[#This Row],[Brand]])</f>
        <v>JOHN VARVATOS</v>
      </c>
      <c r="C552" t="str">
        <f>LOWER(Table2[[#This Row],[Brand]])</f>
        <v>john varvatos</v>
      </c>
      <c r="D552" t="str">
        <f>PROPER(Table2[[#This Row],[Brand]])</f>
        <v>John Varvatos</v>
      </c>
      <c r="E552" t="s">
        <v>15</v>
      </c>
      <c r="F552">
        <v>33.36</v>
      </c>
      <c r="G552" t="s">
        <v>1755</v>
      </c>
      <c r="H55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$33.36</v>
      </c>
      <c r="I552" t="str">
        <f>LEFT(Table2[[#This Row],[priceWithCurrency]],3)</f>
        <v xml:space="preserve">US </v>
      </c>
      <c r="J552">
        <v>4</v>
      </c>
      <c r="K552" t="str">
        <f>IF(Table2[[#This Row],[Available]]&lt;=50, "Less Stock", "Required stock" )</f>
        <v>Less Stock</v>
      </c>
      <c r="L552">
        <f t="shared" si="8"/>
        <v>242.55</v>
      </c>
      <c r="M552" t="s">
        <v>1756</v>
      </c>
      <c r="N552">
        <v>453</v>
      </c>
      <c r="O552" t="s">
        <v>1757</v>
      </c>
      <c r="P552" t="str">
        <f>RIGHT(RIGHT(Table2[[#This Row],[last Updated]],12),4)</f>
        <v xml:space="preserve"> PDT</v>
      </c>
      <c r="Q552" t="s">
        <v>121</v>
      </c>
    </row>
    <row r="553" spans="1:17" x14ac:dyDescent="0.25">
      <c r="A553" t="s">
        <v>56</v>
      </c>
      <c r="B553" t="str">
        <f>UPPER(Table2[[#This Row],[Brand]])</f>
        <v>RALPH LAUREN</v>
      </c>
      <c r="C553" t="str">
        <f>LOWER(Table2[[#This Row],[Brand]])</f>
        <v>ralph lauren</v>
      </c>
      <c r="D553" t="str">
        <f>PROPER(Table2[[#This Row],[Brand]])</f>
        <v>Ralph Lauren</v>
      </c>
      <c r="E553" t="s">
        <v>15</v>
      </c>
      <c r="F553">
        <v>54.52</v>
      </c>
      <c r="G553" t="s">
        <v>1758</v>
      </c>
      <c r="H55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$54.52</v>
      </c>
      <c r="I553" t="str">
        <f>LEFT(Table2[[#This Row],[priceWithCurrency]],3)</f>
        <v xml:space="preserve">US </v>
      </c>
      <c r="J553">
        <v>51</v>
      </c>
      <c r="K553" t="str">
        <f>IF(Table2[[#This Row],[Available]]&lt;=50, "Less Stock", "Required stock" )</f>
        <v>Required stock</v>
      </c>
      <c r="L553">
        <f t="shared" si="8"/>
        <v>1422.8300000000002</v>
      </c>
      <c r="M553" t="s">
        <v>1759</v>
      </c>
      <c r="N553">
        <v>143</v>
      </c>
      <c r="O553" t="s">
        <v>1760</v>
      </c>
      <c r="P553" t="str">
        <f>RIGHT(RIGHT(Table2[[#This Row],[last Updated]],12),4)</f>
        <v xml:space="preserve"> PDT</v>
      </c>
      <c r="Q553" t="s">
        <v>121</v>
      </c>
    </row>
    <row r="554" spans="1:17" x14ac:dyDescent="0.25">
      <c r="A554" t="s">
        <v>399</v>
      </c>
      <c r="B554" t="str">
        <f>UPPER(Table2[[#This Row],[Brand]])</f>
        <v>MOSCHINO</v>
      </c>
      <c r="C554" t="str">
        <f>LOWER(Table2[[#This Row],[Brand]])</f>
        <v>moschino</v>
      </c>
      <c r="D554" t="str">
        <f>PROPER(Table2[[#This Row],[Brand]])</f>
        <v>Moschino</v>
      </c>
      <c r="E554" t="s">
        <v>15</v>
      </c>
      <c r="F554">
        <v>22.87</v>
      </c>
      <c r="G554" t="s">
        <v>1761</v>
      </c>
      <c r="H55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$22.87</v>
      </c>
      <c r="I554" t="str">
        <f>LEFT(Table2[[#This Row],[priceWithCurrency]],3)</f>
        <v xml:space="preserve">US </v>
      </c>
      <c r="J554">
        <v>74</v>
      </c>
      <c r="K554" t="str">
        <f>IF(Table2[[#This Row],[Available]]&lt;=50, "Less Stock", "Required stock" )</f>
        <v>Required stock</v>
      </c>
      <c r="L554">
        <f t="shared" si="8"/>
        <v>1737.26</v>
      </c>
      <c r="M554" t="s">
        <v>1762</v>
      </c>
      <c r="N554">
        <v>440</v>
      </c>
      <c r="O554" t="s">
        <v>1763</v>
      </c>
      <c r="P554" t="str">
        <f>RIGHT(RIGHT(Table2[[#This Row],[last Updated]],12),4)</f>
        <v xml:space="preserve"> PDT</v>
      </c>
      <c r="Q554" t="s">
        <v>121</v>
      </c>
    </row>
    <row r="555" spans="1:17" x14ac:dyDescent="0.25">
      <c r="A555" t="s">
        <v>20</v>
      </c>
      <c r="B555" t="str">
        <f>UPPER(Table2[[#This Row],[Brand]])</f>
        <v>GIORGIO ARMANI</v>
      </c>
      <c r="C555" t="str">
        <f>LOWER(Table2[[#This Row],[Brand]])</f>
        <v>giorgio armani</v>
      </c>
      <c r="D555" t="str">
        <f>PROPER(Table2[[#This Row],[Brand]])</f>
        <v>Giorgio Armani</v>
      </c>
      <c r="E555" t="s">
        <v>374</v>
      </c>
      <c r="F555">
        <v>129.99</v>
      </c>
      <c r="G555" t="s">
        <v>1764</v>
      </c>
      <c r="H55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$129.99</v>
      </c>
      <c r="I555" t="str">
        <f>LEFT(Table2[[#This Row],[priceWithCurrency]],3)</f>
        <v xml:space="preserve">US </v>
      </c>
      <c r="K555" t="str">
        <f>IF(Table2[[#This Row],[Available]]&lt;=50, "Less Stock", "Required stock" )</f>
        <v>Less Stock</v>
      </c>
      <c r="L555">
        <f t="shared" si="8"/>
        <v>1337.7900000000004</v>
      </c>
      <c r="M555" t="s">
        <v>1765</v>
      </c>
      <c r="N555">
        <v>14</v>
      </c>
      <c r="O555" t="s">
        <v>1766</v>
      </c>
      <c r="P555" t="str">
        <f>RIGHT(RIGHT(Table2[[#This Row],[last Updated]],12),4)</f>
        <v xml:space="preserve"> PDT</v>
      </c>
      <c r="Q555" t="s">
        <v>1150</v>
      </c>
    </row>
    <row r="556" spans="1:17" x14ac:dyDescent="0.25">
      <c r="A556" t="s">
        <v>56</v>
      </c>
      <c r="B556" t="str">
        <f>UPPER(Table2[[#This Row],[Brand]])</f>
        <v>RALPH LAUREN</v>
      </c>
      <c r="C556" t="str">
        <f>LOWER(Table2[[#This Row],[Brand]])</f>
        <v>ralph lauren</v>
      </c>
      <c r="D556" t="str">
        <f>PROPER(Table2[[#This Row],[Brand]])</f>
        <v>Ralph Lauren</v>
      </c>
      <c r="E556" t="s">
        <v>15</v>
      </c>
      <c r="F556">
        <v>72.56</v>
      </c>
      <c r="G556" t="s">
        <v>1767</v>
      </c>
      <c r="H55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$72.56</v>
      </c>
      <c r="I556" t="str">
        <f>LEFT(Table2[[#This Row],[priceWithCurrency]],3)</f>
        <v xml:space="preserve">US </v>
      </c>
      <c r="J556">
        <v>10</v>
      </c>
      <c r="K556" t="str">
        <f>IF(Table2[[#This Row],[Available]]&lt;=50, "Less Stock", "Required stock" )</f>
        <v>Less Stock</v>
      </c>
      <c r="L556">
        <f t="shared" si="8"/>
        <v>25.23</v>
      </c>
      <c r="M556" t="s">
        <v>1768</v>
      </c>
      <c r="N556">
        <v>3171</v>
      </c>
      <c r="O556" t="s">
        <v>1769</v>
      </c>
      <c r="P556" t="str">
        <f>RIGHT(RIGHT(Table2[[#This Row],[last Updated]],12),4)</f>
        <v xml:space="preserve"> PDT</v>
      </c>
      <c r="Q556" t="s">
        <v>108</v>
      </c>
    </row>
    <row r="557" spans="1:17" x14ac:dyDescent="0.25">
      <c r="A557" t="s">
        <v>126</v>
      </c>
      <c r="B557" t="str">
        <f>UPPER(Table2[[#This Row],[Brand]])</f>
        <v>AZZARO</v>
      </c>
      <c r="C557" t="str">
        <f>LOWER(Table2[[#This Row],[Brand]])</f>
        <v>azzaro</v>
      </c>
      <c r="D557" t="str">
        <f>PROPER(Table2[[#This Row],[Brand]])</f>
        <v>Azzaro</v>
      </c>
      <c r="E557" t="s">
        <v>15</v>
      </c>
      <c r="F557">
        <v>18.96</v>
      </c>
      <c r="G557" t="s">
        <v>1770</v>
      </c>
      <c r="H55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$18.96</v>
      </c>
      <c r="I557" t="str">
        <f>LEFT(Table2[[#This Row],[priceWithCurrency]],3)</f>
        <v xml:space="preserve">US </v>
      </c>
      <c r="K557" t="str">
        <f>IF(Table2[[#This Row],[Available]]&lt;=50, "Less Stock", "Required stock" )</f>
        <v>Less Stock</v>
      </c>
      <c r="L557">
        <f t="shared" si="8"/>
        <v>1326.7300000000007</v>
      </c>
      <c r="M557" t="s">
        <v>1771</v>
      </c>
      <c r="N557">
        <v>1034</v>
      </c>
      <c r="O557" t="s">
        <v>1772</v>
      </c>
      <c r="P557" t="str">
        <f>RIGHT(RIGHT(Table2[[#This Row],[last Updated]],12),4)</f>
        <v xml:space="preserve"> PDT</v>
      </c>
      <c r="Q557" t="s">
        <v>121</v>
      </c>
    </row>
    <row r="558" spans="1:17" x14ac:dyDescent="0.25">
      <c r="A558" t="s">
        <v>1104</v>
      </c>
      <c r="B558" t="str">
        <f>UPPER(Table2[[#This Row],[Brand]])</f>
        <v>COTY</v>
      </c>
      <c r="C558" t="str">
        <f>LOWER(Table2[[#This Row],[Brand]])</f>
        <v>coty</v>
      </c>
      <c r="D558" t="str">
        <f>PROPER(Table2[[#This Row],[Brand]])</f>
        <v>Coty</v>
      </c>
      <c r="E558" t="s">
        <v>15</v>
      </c>
      <c r="F558">
        <v>9.99</v>
      </c>
      <c r="G558" t="s">
        <v>1773</v>
      </c>
      <c r="H55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$9.99</v>
      </c>
      <c r="I558" t="str">
        <f>LEFT(Table2[[#This Row],[priceWithCurrency]],3)</f>
        <v xml:space="preserve">US </v>
      </c>
      <c r="J558">
        <v>7</v>
      </c>
      <c r="K558" t="str">
        <f>IF(Table2[[#This Row],[Available]]&lt;=50, "Less Stock", "Required stock" )</f>
        <v>Less Stock</v>
      </c>
      <c r="L558">
        <f t="shared" si="8"/>
        <v>1293.7500000000005</v>
      </c>
      <c r="M558" t="s">
        <v>1774</v>
      </c>
      <c r="N558">
        <v>103</v>
      </c>
      <c r="O558" t="s">
        <v>1775</v>
      </c>
      <c r="P558" t="str">
        <f>RIGHT(RIGHT(Table2[[#This Row],[last Updated]],12),4)</f>
        <v xml:space="preserve"> PDT</v>
      </c>
      <c r="Q558" t="s">
        <v>1121</v>
      </c>
    </row>
    <row r="559" spans="1:17" x14ac:dyDescent="0.25">
      <c r="A559" t="s">
        <v>3</v>
      </c>
      <c r="B559" t="str">
        <f>UPPER(Table2[[#This Row],[Brand]])</f>
        <v>DIOR</v>
      </c>
      <c r="C559" t="str">
        <f>LOWER(Table2[[#This Row],[Brand]])</f>
        <v>dior</v>
      </c>
      <c r="D559" t="str">
        <f>PROPER(Table2[[#This Row],[Brand]])</f>
        <v>Dior</v>
      </c>
      <c r="E559" t="s">
        <v>15</v>
      </c>
      <c r="F559">
        <v>67.989999999999995</v>
      </c>
      <c r="G559" t="s">
        <v>1776</v>
      </c>
      <c r="H55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$67.99</v>
      </c>
      <c r="I559" t="str">
        <f>LEFT(Table2[[#This Row],[priceWithCurrency]],3)</f>
        <v xml:space="preserve">US </v>
      </c>
      <c r="J559">
        <v>5</v>
      </c>
      <c r="K559" t="str">
        <f>IF(Table2[[#This Row],[Available]]&lt;=50, "Less Stock", "Required stock" )</f>
        <v>Less Stock</v>
      </c>
      <c r="L559">
        <f t="shared" si="8"/>
        <v>2008.51</v>
      </c>
      <c r="M559" t="s">
        <v>1777</v>
      </c>
      <c r="N559">
        <v>28</v>
      </c>
      <c r="O559" t="s">
        <v>1778</v>
      </c>
      <c r="P559" t="str">
        <f>RIGHT(RIGHT(Table2[[#This Row],[last Updated]],12),4)</f>
        <v xml:space="preserve"> PDT</v>
      </c>
      <c r="Q559" t="s">
        <v>1779</v>
      </c>
    </row>
    <row r="560" spans="1:17" x14ac:dyDescent="0.25">
      <c r="A560" t="s">
        <v>1780</v>
      </c>
      <c r="B560" t="str">
        <f>UPPER(Table2[[#This Row],[Brand]])</f>
        <v>FRANCK OLIVIER</v>
      </c>
      <c r="C560" t="str">
        <f>LOWER(Table2[[#This Row],[Brand]])</f>
        <v>franck olivier</v>
      </c>
      <c r="D560" t="str">
        <f>PROPER(Table2[[#This Row],[Brand]])</f>
        <v>Franck Olivier</v>
      </c>
      <c r="E560" t="s">
        <v>26</v>
      </c>
      <c r="F560">
        <v>17.850000000000001</v>
      </c>
      <c r="G560" t="s">
        <v>609</v>
      </c>
      <c r="H56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$17.85</v>
      </c>
      <c r="I560" t="str">
        <f>LEFT(Table2[[#This Row],[priceWithCurrency]],3)</f>
        <v xml:space="preserve">US </v>
      </c>
      <c r="J560">
        <v>3</v>
      </c>
      <c r="K560" t="str">
        <f>IF(Table2[[#This Row],[Available]]&lt;=50, "Less Stock", "Required stock" )</f>
        <v>Less Stock</v>
      </c>
      <c r="L560">
        <f t="shared" si="8"/>
        <v>1194.3100000000004</v>
      </c>
      <c r="M560" t="s">
        <v>1349</v>
      </c>
      <c r="N560">
        <v>6</v>
      </c>
      <c r="O560" t="s">
        <v>1781</v>
      </c>
      <c r="P560" t="str">
        <f>RIGHT(RIGHT(Table2[[#This Row],[last Updated]],12),4)</f>
        <v xml:space="preserve"> PDT</v>
      </c>
      <c r="Q560" t="s">
        <v>30</v>
      </c>
    </row>
    <row r="561" spans="1:17" x14ac:dyDescent="0.25">
      <c r="A561" t="s">
        <v>249</v>
      </c>
      <c r="B561" t="str">
        <f>UPPER(Table2[[#This Row],[Brand]])</f>
        <v>KENNETH COLE</v>
      </c>
      <c r="C561" t="str">
        <f>LOWER(Table2[[#This Row],[Brand]])</f>
        <v>kenneth cole</v>
      </c>
      <c r="D561" t="str">
        <f>PROPER(Table2[[#This Row],[Brand]])</f>
        <v>Kenneth Cole</v>
      </c>
      <c r="E561" t="s">
        <v>15</v>
      </c>
      <c r="F561">
        <v>28.42</v>
      </c>
      <c r="G561" t="s">
        <v>1782</v>
      </c>
      <c r="H56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$28.42</v>
      </c>
      <c r="I561" t="str">
        <f>LEFT(Table2[[#This Row],[priceWithCurrency]],3)</f>
        <v xml:space="preserve">US </v>
      </c>
      <c r="J561">
        <v>60</v>
      </c>
      <c r="K561" t="str">
        <f>IF(Table2[[#This Row],[Available]]&lt;=50, "Less Stock", "Required stock" )</f>
        <v>Required stock</v>
      </c>
      <c r="L561">
        <f t="shared" si="8"/>
        <v>2008.51</v>
      </c>
      <c r="M561" t="s">
        <v>1783</v>
      </c>
      <c r="N561">
        <v>731</v>
      </c>
      <c r="O561" t="s">
        <v>1784</v>
      </c>
      <c r="P561" t="str">
        <f>RIGHT(RIGHT(Table2[[#This Row],[last Updated]],12),4)</f>
        <v xml:space="preserve"> PDT</v>
      </c>
      <c r="Q561" t="s">
        <v>121</v>
      </c>
    </row>
    <row r="562" spans="1:17" x14ac:dyDescent="0.25">
      <c r="A562" t="s">
        <v>1785</v>
      </c>
      <c r="B562" t="str">
        <f>UPPER(Table2[[#This Row],[Brand]])</f>
        <v>MISSONI</v>
      </c>
      <c r="C562" t="str">
        <f>LOWER(Table2[[#This Row],[Brand]])</f>
        <v>missoni</v>
      </c>
      <c r="D562" t="str">
        <f>PROPER(Table2[[#This Row],[Brand]])</f>
        <v>Missoni</v>
      </c>
      <c r="E562" t="s">
        <v>26</v>
      </c>
      <c r="F562">
        <v>30.07</v>
      </c>
      <c r="G562" t="s">
        <v>747</v>
      </c>
      <c r="H56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$30.07</v>
      </c>
      <c r="I562" t="str">
        <f>LEFT(Table2[[#This Row],[priceWithCurrency]],3)</f>
        <v xml:space="preserve">US </v>
      </c>
      <c r="J562">
        <v>3</v>
      </c>
      <c r="K562" t="str">
        <f>IF(Table2[[#This Row],[Available]]&lt;=50, "Less Stock", "Required stock" )</f>
        <v>Less Stock</v>
      </c>
      <c r="L562">
        <f t="shared" si="8"/>
        <v>1164.6000000000004</v>
      </c>
      <c r="M562" t="s">
        <v>1497</v>
      </c>
      <c r="N562">
        <v>12</v>
      </c>
      <c r="O562" t="s">
        <v>1786</v>
      </c>
      <c r="P562" t="str">
        <f>RIGHT(RIGHT(Table2[[#This Row],[last Updated]],12),4)</f>
        <v xml:space="preserve"> PDT</v>
      </c>
      <c r="Q562" t="s">
        <v>30</v>
      </c>
    </row>
    <row r="563" spans="1:17" x14ac:dyDescent="0.25">
      <c r="A563" t="s">
        <v>1787</v>
      </c>
      <c r="B563" t="str">
        <f>UPPER(Table2[[#This Row],[Brand]])</f>
        <v>HALSTON</v>
      </c>
      <c r="C563" t="str">
        <f>LOWER(Table2[[#This Row],[Brand]])</f>
        <v>halston</v>
      </c>
      <c r="D563" t="str">
        <f>PROPER(Table2[[#This Row],[Brand]])</f>
        <v>Halston</v>
      </c>
      <c r="E563" t="s">
        <v>374</v>
      </c>
      <c r="F563">
        <v>15.51</v>
      </c>
      <c r="G563" t="s">
        <v>1788</v>
      </c>
      <c r="H56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$15.51</v>
      </c>
      <c r="I563" t="str">
        <f>LEFT(Table2[[#This Row],[priceWithCurrency]],3)</f>
        <v xml:space="preserve">US </v>
      </c>
      <c r="J563">
        <v>113</v>
      </c>
      <c r="K563" t="str">
        <f>IF(Table2[[#This Row],[Available]]&lt;=50, "Less Stock", "Required stock" )</f>
        <v>Required stock</v>
      </c>
      <c r="L563">
        <f t="shared" si="8"/>
        <v>1164.6000000000004</v>
      </c>
      <c r="M563" t="s">
        <v>1789</v>
      </c>
      <c r="N563">
        <v>4443</v>
      </c>
      <c r="O563" t="s">
        <v>1790</v>
      </c>
      <c r="P563" t="str">
        <f>RIGHT(RIGHT(Table2[[#This Row],[last Updated]],12),4)</f>
        <v xml:space="preserve"> PDT</v>
      </c>
      <c r="Q563" t="s">
        <v>121</v>
      </c>
    </row>
    <row r="564" spans="1:17" x14ac:dyDescent="0.25">
      <c r="A564" t="s">
        <v>335</v>
      </c>
      <c r="B564" t="str">
        <f>UPPER(Table2[[#This Row],[Brand]])</f>
        <v>COLOGNE</v>
      </c>
      <c r="C564" t="str">
        <f>LOWER(Table2[[#This Row],[Brand]])</f>
        <v>cologne</v>
      </c>
      <c r="D564" t="str">
        <f>PROPER(Table2[[#This Row],[Brand]])</f>
        <v>Cologne</v>
      </c>
      <c r="E564" t="s">
        <v>15</v>
      </c>
      <c r="F564">
        <v>38.94</v>
      </c>
      <c r="G564" t="s">
        <v>1791</v>
      </c>
      <c r="H56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$38.94</v>
      </c>
      <c r="I564" t="str">
        <f>LEFT(Table2[[#This Row],[priceWithCurrency]],3)</f>
        <v xml:space="preserve">US </v>
      </c>
      <c r="J564">
        <v>66</v>
      </c>
      <c r="K564" t="str">
        <f>IF(Table2[[#This Row],[Available]]&lt;=50, "Less Stock", "Required stock" )</f>
        <v>Required stock</v>
      </c>
      <c r="L564">
        <f t="shared" si="8"/>
        <v>70.08</v>
      </c>
      <c r="M564" t="s">
        <v>1792</v>
      </c>
      <c r="N564">
        <v>2247</v>
      </c>
      <c r="O564" t="s">
        <v>1793</v>
      </c>
      <c r="P564" t="str">
        <f>RIGHT(RIGHT(Table2[[#This Row],[last Updated]],12),4)</f>
        <v xml:space="preserve"> PDT</v>
      </c>
      <c r="Q564" t="s">
        <v>121</v>
      </c>
    </row>
    <row r="565" spans="1:17" x14ac:dyDescent="0.25">
      <c r="A565" t="s">
        <v>79</v>
      </c>
      <c r="B565" t="str">
        <f>UPPER(Table2[[#This Row],[Brand]])</f>
        <v>PACO RABANNE</v>
      </c>
      <c r="C565" t="str">
        <f>LOWER(Table2[[#This Row],[Brand]])</f>
        <v>paco rabanne</v>
      </c>
      <c r="D565" t="str">
        <f>PROPER(Table2[[#This Row],[Brand]])</f>
        <v>Paco Rabanne</v>
      </c>
      <c r="E565" t="s">
        <v>4</v>
      </c>
      <c r="F565">
        <v>68.989999999999995</v>
      </c>
      <c r="G565" t="s">
        <v>81</v>
      </c>
      <c r="H56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$68.99</v>
      </c>
      <c r="I565" t="str">
        <f>LEFT(Table2[[#This Row],[priceWithCurrency]],3)</f>
        <v xml:space="preserve">US </v>
      </c>
      <c r="J565">
        <v>6</v>
      </c>
      <c r="K565" t="str">
        <f>IF(Table2[[#This Row],[Available]]&lt;=50, "Less Stock", "Required stock" )</f>
        <v>Less Stock</v>
      </c>
      <c r="L565">
        <f t="shared" si="8"/>
        <v>2094.0899999999997</v>
      </c>
      <c r="M565" t="s">
        <v>1794</v>
      </c>
      <c r="N565">
        <v>59</v>
      </c>
      <c r="O565" t="s">
        <v>1795</v>
      </c>
      <c r="P565" t="str">
        <f>RIGHT(RIGHT(Table2[[#This Row],[last Updated]],12),4)</f>
        <v xml:space="preserve"> PDT</v>
      </c>
      <c r="Q565" t="s">
        <v>438</v>
      </c>
    </row>
    <row r="566" spans="1:17" x14ac:dyDescent="0.25">
      <c r="A566" t="s">
        <v>14</v>
      </c>
      <c r="B566" t="str">
        <f>UPPER(Table2[[#This Row],[Brand]])</f>
        <v>UNBRANDED</v>
      </c>
      <c r="C566" t="str">
        <f>LOWER(Table2[[#This Row],[Brand]])</f>
        <v>unbranded</v>
      </c>
      <c r="D566" t="str">
        <f>PROPER(Table2[[#This Row],[Brand]])</f>
        <v>Unbranded</v>
      </c>
      <c r="E566" t="s">
        <v>374</v>
      </c>
      <c r="F566">
        <v>18</v>
      </c>
      <c r="G566" t="s">
        <v>1796</v>
      </c>
      <c r="H56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$18.00</v>
      </c>
      <c r="I566" t="str">
        <f>LEFT(Table2[[#This Row],[priceWithCurrency]],3)</f>
        <v xml:space="preserve">US </v>
      </c>
      <c r="J566">
        <v>5</v>
      </c>
      <c r="K566" t="str">
        <f>IF(Table2[[#This Row],[Available]]&lt;=50, "Less Stock", "Required stock" )</f>
        <v>Less Stock</v>
      </c>
      <c r="L566">
        <f t="shared" si="8"/>
        <v>1234.6800000000003</v>
      </c>
      <c r="M566" t="s">
        <v>1583</v>
      </c>
      <c r="N566">
        <v>3</v>
      </c>
      <c r="P566" t="str">
        <f>RIGHT(RIGHT(Table2[[#This Row],[last Updated]],12),4)</f>
        <v/>
      </c>
      <c r="Q566" t="s">
        <v>1797</v>
      </c>
    </row>
    <row r="567" spans="1:17" x14ac:dyDescent="0.25">
      <c r="A567" t="s">
        <v>634</v>
      </c>
      <c r="B567" t="str">
        <f>UPPER(Table2[[#This Row],[Brand]])</f>
        <v>YSL</v>
      </c>
      <c r="C567" t="str">
        <f>LOWER(Table2[[#This Row],[Brand]])</f>
        <v>ysl</v>
      </c>
      <c r="D567" t="str">
        <f>PROPER(Table2[[#This Row],[Brand]])</f>
        <v>Ysl</v>
      </c>
      <c r="E567" t="s">
        <v>4</v>
      </c>
      <c r="F567">
        <v>49.99</v>
      </c>
      <c r="G567" t="s">
        <v>114</v>
      </c>
      <c r="H56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$49.99</v>
      </c>
      <c r="I567" t="str">
        <f>LEFT(Table2[[#This Row],[priceWithCurrency]],3)</f>
        <v xml:space="preserve">US </v>
      </c>
      <c r="J567">
        <v>10</v>
      </c>
      <c r="K567" t="str">
        <f>IF(Table2[[#This Row],[Available]]&lt;=50, "Less Stock", "Required stock" )</f>
        <v>Less Stock</v>
      </c>
      <c r="L567">
        <f t="shared" si="8"/>
        <v>1234.6800000000003</v>
      </c>
      <c r="M567" t="s">
        <v>720</v>
      </c>
      <c r="N567">
        <v>12</v>
      </c>
      <c r="O567" t="s">
        <v>1798</v>
      </c>
      <c r="P567" t="str">
        <f>RIGHT(RIGHT(Table2[[#This Row],[last Updated]],12),4)</f>
        <v xml:space="preserve"> PDT</v>
      </c>
      <c r="Q567" t="s">
        <v>1799</v>
      </c>
    </row>
    <row r="568" spans="1:17" x14ac:dyDescent="0.25">
      <c r="A568" t="s">
        <v>1235</v>
      </c>
      <c r="B568" t="str">
        <f>UPPER(Table2[[#This Row],[Brand]])</f>
        <v>PRADA</v>
      </c>
      <c r="C568" t="str">
        <f>LOWER(Table2[[#This Row],[Brand]])</f>
        <v>prada</v>
      </c>
      <c r="D568" t="str">
        <f>PROPER(Table2[[#This Row],[Brand]])</f>
        <v>Prada</v>
      </c>
      <c r="E568" t="s">
        <v>15</v>
      </c>
      <c r="F568">
        <v>76.5</v>
      </c>
      <c r="G568" t="s">
        <v>1800</v>
      </c>
      <c r="H56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$76.50</v>
      </c>
      <c r="I568" t="str">
        <f>LEFT(Table2[[#This Row],[priceWithCurrency]],3)</f>
        <v xml:space="preserve">US </v>
      </c>
      <c r="J568">
        <v>2</v>
      </c>
      <c r="K568" t="str">
        <f>IF(Table2[[#This Row],[Available]]&lt;=50, "Less Stock", "Required stock" )</f>
        <v>Less Stock</v>
      </c>
      <c r="L568">
        <f t="shared" si="8"/>
        <v>2070.2699999999995</v>
      </c>
      <c r="M568" t="s">
        <v>1663</v>
      </c>
      <c r="N568">
        <v>8</v>
      </c>
      <c r="O568" t="s">
        <v>1801</v>
      </c>
      <c r="P568" t="str">
        <f>RIGHT(RIGHT(Table2[[#This Row],[last Updated]],12),4)</f>
        <v xml:space="preserve"> PDT</v>
      </c>
      <c r="Q568" t="s">
        <v>1143</v>
      </c>
    </row>
    <row r="569" spans="1:17" x14ac:dyDescent="0.25">
      <c r="B569" t="str">
        <f>UPPER(Table2[[#This Row],[Brand]])</f>
        <v/>
      </c>
      <c r="C569" t="str">
        <f>LOWER(Table2[[#This Row],[Brand]])</f>
        <v/>
      </c>
      <c r="D569" t="str">
        <f>PROPER(Table2[[#This Row],[Brand]])</f>
        <v/>
      </c>
      <c r="E569" t="s">
        <v>4</v>
      </c>
      <c r="F569">
        <v>55.16</v>
      </c>
      <c r="G569" t="s">
        <v>1802</v>
      </c>
      <c r="H56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$55.16</v>
      </c>
      <c r="I569" t="str">
        <f>LEFT(Table2[[#This Row],[priceWithCurrency]],3)</f>
        <v xml:space="preserve">US </v>
      </c>
      <c r="K569" t="str">
        <f>IF(Table2[[#This Row],[Available]]&lt;=50, "Less Stock", "Required stock" )</f>
        <v>Less Stock</v>
      </c>
      <c r="L569">
        <f t="shared" si="8"/>
        <v>2070.2699999999995</v>
      </c>
      <c r="M569" t="s">
        <v>1803</v>
      </c>
      <c r="N569">
        <v>3110</v>
      </c>
      <c r="O569" t="s">
        <v>1804</v>
      </c>
      <c r="P569" t="str">
        <f>RIGHT(RIGHT(Table2[[#This Row],[last Updated]],12),4)</f>
        <v xml:space="preserve"> PDT</v>
      </c>
      <c r="Q569" t="s">
        <v>108</v>
      </c>
    </row>
    <row r="570" spans="1:17" x14ac:dyDescent="0.25">
      <c r="A570" t="s">
        <v>1805</v>
      </c>
      <c r="B570" t="str">
        <f>UPPER(Table2[[#This Row],[Brand]])</f>
        <v>BARON</v>
      </c>
      <c r="C570" t="str">
        <f>LOWER(Table2[[#This Row],[Brand]])</f>
        <v>baron</v>
      </c>
      <c r="D570" t="str">
        <f>PROPER(Table2[[#This Row],[Brand]])</f>
        <v>Baron</v>
      </c>
      <c r="E570" t="s">
        <v>374</v>
      </c>
      <c r="F570">
        <v>28.38</v>
      </c>
      <c r="G570" t="s">
        <v>1806</v>
      </c>
      <c r="H57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$28.38</v>
      </c>
      <c r="I570" t="str">
        <f>LEFT(Table2[[#This Row],[priceWithCurrency]],3)</f>
        <v xml:space="preserve">US </v>
      </c>
      <c r="J570">
        <v>4</v>
      </c>
      <c r="K570" t="str">
        <f>IF(Table2[[#This Row],[Available]]&lt;=50, "Less Stock", "Required stock" )</f>
        <v>Less Stock</v>
      </c>
      <c r="L570">
        <f t="shared" si="8"/>
        <v>90.11</v>
      </c>
      <c r="M570" t="s">
        <v>1807</v>
      </c>
      <c r="N570">
        <v>1433</v>
      </c>
      <c r="O570" t="s">
        <v>1808</v>
      </c>
      <c r="P570" t="str">
        <f>RIGHT(RIGHT(Table2[[#This Row],[last Updated]],12),4)</f>
        <v xml:space="preserve"> PDT</v>
      </c>
      <c r="Q570" t="s">
        <v>121</v>
      </c>
    </row>
    <row r="571" spans="1:17" x14ac:dyDescent="0.25">
      <c r="A571" t="s">
        <v>79</v>
      </c>
      <c r="B571" t="str">
        <f>UPPER(Table2[[#This Row],[Brand]])</f>
        <v>PACO RABANNE</v>
      </c>
      <c r="C571" t="str">
        <f>LOWER(Table2[[#This Row],[Brand]])</f>
        <v>paco rabanne</v>
      </c>
      <c r="D571" t="str">
        <f>PROPER(Table2[[#This Row],[Brand]])</f>
        <v>Paco Rabanne</v>
      </c>
      <c r="E571" t="s">
        <v>1809</v>
      </c>
      <c r="F571">
        <v>11.95</v>
      </c>
      <c r="G571" t="s">
        <v>1810</v>
      </c>
      <c r="H57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$11.95</v>
      </c>
      <c r="I571" t="str">
        <f>LEFT(Table2[[#This Row],[priceWithCurrency]],3)</f>
        <v xml:space="preserve">US </v>
      </c>
      <c r="J571">
        <v>10</v>
      </c>
      <c r="K571" t="str">
        <f>IF(Table2[[#This Row],[Available]]&lt;=50, "Less Stock", "Required stock" )</f>
        <v>Less Stock</v>
      </c>
      <c r="L571">
        <f t="shared" si="8"/>
        <v>1331.6700000000003</v>
      </c>
      <c r="M571" t="s">
        <v>1811</v>
      </c>
      <c r="N571">
        <v>18</v>
      </c>
      <c r="O571" t="s">
        <v>1812</v>
      </c>
      <c r="P571" t="str">
        <f>RIGHT(RIGHT(Table2[[#This Row],[last Updated]],12),4)</f>
        <v xml:space="preserve"> PDT</v>
      </c>
      <c r="Q571" t="s">
        <v>793</v>
      </c>
    </row>
    <row r="572" spans="1:17" x14ac:dyDescent="0.25">
      <c r="A572" t="s">
        <v>20</v>
      </c>
      <c r="B572" t="str">
        <f>UPPER(Table2[[#This Row],[Brand]])</f>
        <v>GIORGIO ARMANI</v>
      </c>
      <c r="C572" t="str">
        <f>LOWER(Table2[[#This Row],[Brand]])</f>
        <v>giorgio armani</v>
      </c>
      <c r="D572" t="str">
        <f>PROPER(Table2[[#This Row],[Brand]])</f>
        <v>Giorgio Armani</v>
      </c>
      <c r="E572" t="s">
        <v>4</v>
      </c>
      <c r="F572">
        <v>27</v>
      </c>
      <c r="G572" t="s">
        <v>1813</v>
      </c>
      <c r="H57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$27.00</v>
      </c>
      <c r="I572" t="str">
        <f>LEFT(Table2[[#This Row],[priceWithCurrency]],3)</f>
        <v xml:space="preserve">US </v>
      </c>
      <c r="J572">
        <v>6</v>
      </c>
      <c r="K572" t="str">
        <f>IF(Table2[[#This Row],[Available]]&lt;=50, "Less Stock", "Required stock" )</f>
        <v>Less Stock</v>
      </c>
      <c r="L572">
        <f t="shared" si="8"/>
        <v>1986.2800000000002</v>
      </c>
      <c r="M572" t="s">
        <v>1814</v>
      </c>
      <c r="N572">
        <v>5</v>
      </c>
      <c r="O572" t="s">
        <v>1815</v>
      </c>
      <c r="P572" t="str">
        <f>RIGHT(RIGHT(Table2[[#This Row],[last Updated]],12),4)</f>
        <v xml:space="preserve"> PDT</v>
      </c>
      <c r="Q572" t="s">
        <v>1816</v>
      </c>
    </row>
    <row r="573" spans="1:17" x14ac:dyDescent="0.25">
      <c r="A573" t="s">
        <v>860</v>
      </c>
      <c r="B573" t="str">
        <f>UPPER(Table2[[#This Row],[Brand]])</f>
        <v>LIZ CLAIBORNE</v>
      </c>
      <c r="C573" t="str">
        <f>LOWER(Table2[[#This Row],[Brand]])</f>
        <v>liz claiborne</v>
      </c>
      <c r="D573" t="str">
        <f>PROPER(Table2[[#This Row],[Brand]])</f>
        <v>Liz Claiborne</v>
      </c>
      <c r="E573" t="s">
        <v>374</v>
      </c>
      <c r="F573">
        <v>17.29</v>
      </c>
      <c r="G573" t="s">
        <v>1817</v>
      </c>
      <c r="H57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$17.29</v>
      </c>
      <c r="I573" t="str">
        <f>LEFT(Table2[[#This Row],[priceWithCurrency]],3)</f>
        <v xml:space="preserve">US </v>
      </c>
      <c r="J573">
        <v>226</v>
      </c>
      <c r="K573" t="str">
        <f>IF(Table2[[#This Row],[Available]]&lt;=50, "Less Stock", "Required stock" )</f>
        <v>Required stock</v>
      </c>
      <c r="L573">
        <f t="shared" si="8"/>
        <v>113.98</v>
      </c>
      <c r="M573" t="s">
        <v>1818</v>
      </c>
      <c r="N573">
        <v>1370</v>
      </c>
      <c r="O573" t="s">
        <v>1819</v>
      </c>
      <c r="P573" t="str">
        <f>RIGHT(RIGHT(Table2[[#This Row],[last Updated]],12),4)</f>
        <v xml:space="preserve"> PDT</v>
      </c>
      <c r="Q573" t="s">
        <v>121</v>
      </c>
    </row>
    <row r="574" spans="1:17" x14ac:dyDescent="0.25">
      <c r="A574" t="s">
        <v>1820</v>
      </c>
      <c r="B574" t="str">
        <f>UPPER(Table2[[#This Row],[Brand]])</f>
        <v>ADIDAS</v>
      </c>
      <c r="C574" t="str">
        <f>LOWER(Table2[[#This Row],[Brand]])</f>
        <v>adidas</v>
      </c>
      <c r="D574" t="str">
        <f>PROPER(Table2[[#This Row],[Brand]])</f>
        <v>Adidas</v>
      </c>
      <c r="E574" t="s">
        <v>15</v>
      </c>
      <c r="F574">
        <v>11.58</v>
      </c>
      <c r="G574" t="s">
        <v>1821</v>
      </c>
      <c r="H57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$11.58</v>
      </c>
      <c r="I574" t="str">
        <f>LEFT(Table2[[#This Row],[priceWithCurrency]],3)</f>
        <v xml:space="preserve">US </v>
      </c>
      <c r="J574">
        <v>10</v>
      </c>
      <c r="K574" t="str">
        <f>IF(Table2[[#This Row],[Available]]&lt;=50, "Less Stock", "Required stock" )</f>
        <v>Less Stock</v>
      </c>
      <c r="L574">
        <f t="shared" si="8"/>
        <v>1986.5600000000002</v>
      </c>
      <c r="M574" t="s">
        <v>1405</v>
      </c>
      <c r="N574">
        <v>17</v>
      </c>
      <c r="P574" t="str">
        <f>RIGHT(RIGHT(Table2[[#This Row],[last Updated]],12),4)</f>
        <v/>
      </c>
      <c r="Q574" t="s">
        <v>480</v>
      </c>
    </row>
    <row r="575" spans="1:17" x14ac:dyDescent="0.25">
      <c r="A575" t="s">
        <v>1235</v>
      </c>
      <c r="B575" t="str">
        <f>UPPER(Table2[[#This Row],[Brand]])</f>
        <v>PRADA</v>
      </c>
      <c r="C575" t="str">
        <f>LOWER(Table2[[#This Row],[Brand]])</f>
        <v>prada</v>
      </c>
      <c r="D575" t="str">
        <f>PROPER(Table2[[#This Row],[Brand]])</f>
        <v>Prada</v>
      </c>
      <c r="E575" t="s">
        <v>15</v>
      </c>
      <c r="F575">
        <v>79.989999999999995</v>
      </c>
      <c r="G575" t="s">
        <v>521</v>
      </c>
      <c r="H57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$79.99</v>
      </c>
      <c r="I575" t="str">
        <f>LEFT(Table2[[#This Row],[priceWithCurrency]],3)</f>
        <v xml:space="preserve">US </v>
      </c>
      <c r="J575">
        <v>5</v>
      </c>
      <c r="K575" t="str">
        <f>IF(Table2[[#This Row],[Available]]&lt;=50, "Less Stock", "Required stock" )</f>
        <v>Less Stock</v>
      </c>
      <c r="L575">
        <f t="shared" si="8"/>
        <v>35.25</v>
      </c>
      <c r="M575" t="s">
        <v>1822</v>
      </c>
      <c r="N575">
        <v>1</v>
      </c>
      <c r="P575" t="str">
        <f>RIGHT(RIGHT(Table2[[#This Row],[last Updated]],12),4)</f>
        <v/>
      </c>
      <c r="Q575" t="s">
        <v>1823</v>
      </c>
    </row>
    <row r="576" spans="1:17" x14ac:dyDescent="0.25">
      <c r="A576" t="s">
        <v>90</v>
      </c>
      <c r="B576" t="str">
        <f>UPPER(Table2[[#This Row],[Brand]])</f>
        <v>ARMAF</v>
      </c>
      <c r="C576" t="str">
        <f>LOWER(Table2[[#This Row],[Brand]])</f>
        <v>armaf</v>
      </c>
      <c r="D576" t="str">
        <f>PROPER(Table2[[#This Row],[Brand]])</f>
        <v>Armaf</v>
      </c>
      <c r="E576" t="s">
        <v>4</v>
      </c>
      <c r="F576">
        <v>28.8</v>
      </c>
      <c r="G576" t="s">
        <v>1824</v>
      </c>
      <c r="H57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$28.80</v>
      </c>
      <c r="I576" t="str">
        <f>LEFT(Table2[[#This Row],[priceWithCurrency]],3)</f>
        <v xml:space="preserve">US </v>
      </c>
      <c r="J576">
        <v>10</v>
      </c>
      <c r="K576" t="str">
        <f>IF(Table2[[#This Row],[Available]]&lt;=50, "Less Stock", "Required stock" )</f>
        <v>Less Stock</v>
      </c>
      <c r="L576">
        <f t="shared" si="8"/>
        <v>1240.8600000000001</v>
      </c>
      <c r="M576" t="s">
        <v>1825</v>
      </c>
      <c r="N576">
        <v>712</v>
      </c>
      <c r="O576" t="s">
        <v>1826</v>
      </c>
      <c r="P576" t="str">
        <f>RIGHT(RIGHT(Table2[[#This Row],[last Updated]],12),4)</f>
        <v xml:space="preserve"> PDT</v>
      </c>
      <c r="Q576" t="s">
        <v>30</v>
      </c>
    </row>
    <row r="577" spans="1:17" x14ac:dyDescent="0.25">
      <c r="A577" t="s">
        <v>51</v>
      </c>
      <c r="B577" t="str">
        <f>UPPER(Table2[[#This Row],[Brand]])</f>
        <v>GUCCI</v>
      </c>
      <c r="C577" t="str">
        <f>LOWER(Table2[[#This Row],[Brand]])</f>
        <v>gucci</v>
      </c>
      <c r="D577" t="str">
        <f>PROPER(Table2[[#This Row],[Brand]])</f>
        <v>Gucci</v>
      </c>
      <c r="E577" t="s">
        <v>4</v>
      </c>
      <c r="F577">
        <v>74.25</v>
      </c>
      <c r="G577" t="s">
        <v>1827</v>
      </c>
      <c r="H57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$74.25</v>
      </c>
      <c r="I577" t="str">
        <f>LEFT(Table2[[#This Row],[priceWithCurrency]],3)</f>
        <v xml:space="preserve">US </v>
      </c>
      <c r="J577">
        <v>3</v>
      </c>
      <c r="K577" t="str">
        <f>IF(Table2[[#This Row],[Available]]&lt;=50, "Less Stock", "Required stock" )</f>
        <v>Less Stock</v>
      </c>
      <c r="L577">
        <f t="shared" si="8"/>
        <v>171.74</v>
      </c>
      <c r="M577" t="s">
        <v>1199</v>
      </c>
      <c r="N577">
        <v>16</v>
      </c>
      <c r="O577" t="s">
        <v>1828</v>
      </c>
      <c r="P577" t="str">
        <f>RIGHT(RIGHT(Table2[[#This Row],[last Updated]],12),4)</f>
        <v xml:space="preserve"> PDT</v>
      </c>
      <c r="Q577" t="s">
        <v>30</v>
      </c>
    </row>
    <row r="578" spans="1:17" x14ac:dyDescent="0.25">
      <c r="A578" t="s">
        <v>1235</v>
      </c>
      <c r="B578" t="str">
        <f>UPPER(Table2[[#This Row],[Brand]])</f>
        <v>PRADA</v>
      </c>
      <c r="C578" t="str">
        <f>LOWER(Table2[[#This Row],[Brand]])</f>
        <v>prada</v>
      </c>
      <c r="D578" t="str">
        <f>PROPER(Table2[[#This Row],[Brand]])</f>
        <v>Prada</v>
      </c>
      <c r="E578" t="s">
        <v>4</v>
      </c>
      <c r="F578">
        <v>90.45</v>
      </c>
      <c r="G578" t="s">
        <v>1829</v>
      </c>
      <c r="H57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$90.45</v>
      </c>
      <c r="I578" t="str">
        <f>LEFT(Table2[[#This Row],[priceWithCurrency]],3)</f>
        <v xml:space="preserve">US </v>
      </c>
      <c r="J578">
        <v>3</v>
      </c>
      <c r="K578" t="str">
        <f>IF(Table2[[#This Row],[Available]]&lt;=50, "Less Stock", "Required stock" )</f>
        <v>Less Stock</v>
      </c>
      <c r="L578">
        <f t="shared" ref="L578:L641" si="9">SUMIF(E578:E658,E622,F622:F1577)</f>
        <v>2024.7000000000003</v>
      </c>
      <c r="M578" t="s">
        <v>1660</v>
      </c>
      <c r="N578">
        <v>19</v>
      </c>
      <c r="O578" t="s">
        <v>1830</v>
      </c>
      <c r="P578" t="str">
        <f>RIGHT(RIGHT(Table2[[#This Row],[last Updated]],12),4)</f>
        <v xml:space="preserve"> PDT</v>
      </c>
      <c r="Q578" t="s">
        <v>30</v>
      </c>
    </row>
    <row r="579" spans="1:17" x14ac:dyDescent="0.25">
      <c r="A579" t="s">
        <v>61</v>
      </c>
      <c r="B579" t="str">
        <f>UPPER(Table2[[#This Row],[Brand]])</f>
        <v>DOLCE&amp;GABBANA</v>
      </c>
      <c r="C579" t="str">
        <f>LOWER(Table2[[#This Row],[Brand]])</f>
        <v>dolce&amp;gabbana</v>
      </c>
      <c r="D579" t="str">
        <f>PROPER(Table2[[#This Row],[Brand]])</f>
        <v>Dolce&amp;Gabbana</v>
      </c>
      <c r="E579" t="s">
        <v>4</v>
      </c>
      <c r="F579">
        <v>28.95</v>
      </c>
      <c r="G579" t="s">
        <v>667</v>
      </c>
      <c r="H57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$28.95</v>
      </c>
      <c r="I579" t="str">
        <f>LEFT(Table2[[#This Row],[priceWithCurrency]],3)</f>
        <v xml:space="preserve">US </v>
      </c>
      <c r="K579" t="str">
        <f>IF(Table2[[#This Row],[Available]]&lt;=50, "Less Stock", "Required stock" )</f>
        <v>Less Stock</v>
      </c>
      <c r="L579">
        <f t="shared" si="9"/>
        <v>1914.7100000000003</v>
      </c>
      <c r="M579" t="s">
        <v>1831</v>
      </c>
      <c r="N579">
        <v>81</v>
      </c>
      <c r="O579" t="s">
        <v>1832</v>
      </c>
      <c r="P579" t="str">
        <f>RIGHT(RIGHT(Table2[[#This Row],[last Updated]],12),4)</f>
        <v xml:space="preserve"> PDT</v>
      </c>
      <c r="Q579" t="s">
        <v>793</v>
      </c>
    </row>
    <row r="580" spans="1:17" x14ac:dyDescent="0.25">
      <c r="A580" t="s">
        <v>1833</v>
      </c>
      <c r="B580" t="str">
        <f>UPPER(Table2[[#This Row],[Brand]])</f>
        <v>GUERLAIN</v>
      </c>
      <c r="C580" t="str">
        <f>LOWER(Table2[[#This Row],[Brand]])</f>
        <v>guerlain</v>
      </c>
      <c r="D580" t="str">
        <f>PROPER(Table2[[#This Row],[Brand]])</f>
        <v>Guerlain</v>
      </c>
      <c r="E580" t="s">
        <v>15</v>
      </c>
      <c r="F580">
        <v>94.99</v>
      </c>
      <c r="G580" t="s">
        <v>826</v>
      </c>
      <c r="H58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$94.99</v>
      </c>
      <c r="I580" t="str">
        <f>LEFT(Table2[[#This Row],[priceWithCurrency]],3)</f>
        <v xml:space="preserve">US </v>
      </c>
      <c r="J580">
        <v>3</v>
      </c>
      <c r="K580" t="str">
        <f>IF(Table2[[#This Row],[Available]]&lt;=50, "Less Stock", "Required stock" )</f>
        <v>Less Stock</v>
      </c>
      <c r="L580">
        <f t="shared" si="9"/>
        <v>1872.76</v>
      </c>
      <c r="M580" t="s">
        <v>203</v>
      </c>
      <c r="N580">
        <v>24</v>
      </c>
      <c r="O580" t="s">
        <v>1834</v>
      </c>
      <c r="P580" t="str">
        <f>RIGHT(RIGHT(Table2[[#This Row],[last Updated]],12),4)</f>
        <v xml:space="preserve"> PDT</v>
      </c>
      <c r="Q580" t="s">
        <v>30</v>
      </c>
    </row>
    <row r="581" spans="1:17" x14ac:dyDescent="0.25">
      <c r="A581" t="s">
        <v>249</v>
      </c>
      <c r="B581" t="str">
        <f>UPPER(Table2[[#This Row],[Brand]])</f>
        <v>KENNETH COLE</v>
      </c>
      <c r="C581" t="str">
        <f>LOWER(Table2[[#This Row],[Brand]])</f>
        <v>kenneth cole</v>
      </c>
      <c r="D581" t="str">
        <f>PROPER(Table2[[#This Row],[Brand]])</f>
        <v>Kenneth Cole</v>
      </c>
      <c r="E581" t="s">
        <v>15</v>
      </c>
      <c r="F581">
        <v>24.14</v>
      </c>
      <c r="G581" t="s">
        <v>1835</v>
      </c>
      <c r="H58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$24.14</v>
      </c>
      <c r="I581" t="str">
        <f>LEFT(Table2[[#This Row],[priceWithCurrency]],3)</f>
        <v xml:space="preserve">US </v>
      </c>
      <c r="J581">
        <v>10</v>
      </c>
      <c r="K581" t="str">
        <f>IF(Table2[[#This Row],[Available]]&lt;=50, "Less Stock", "Required stock" )</f>
        <v>Less Stock</v>
      </c>
      <c r="L581">
        <f t="shared" si="9"/>
        <v>1887.74</v>
      </c>
      <c r="M581" t="s">
        <v>1836</v>
      </c>
      <c r="N581">
        <v>9265</v>
      </c>
      <c r="O581" t="s">
        <v>1837</v>
      </c>
      <c r="P581" t="str">
        <f>RIGHT(RIGHT(Table2[[#This Row],[last Updated]],12),4)</f>
        <v xml:space="preserve"> PDT</v>
      </c>
      <c r="Q581" t="s">
        <v>108</v>
      </c>
    </row>
    <row r="582" spans="1:17" x14ac:dyDescent="0.25">
      <c r="A582" t="s">
        <v>650</v>
      </c>
      <c r="B582" t="str">
        <f>UPPER(Table2[[#This Row],[Brand]])</f>
        <v>JAGUAR</v>
      </c>
      <c r="C582" t="str">
        <f>LOWER(Table2[[#This Row],[Brand]])</f>
        <v>jaguar</v>
      </c>
      <c r="D582" t="str">
        <f>PROPER(Table2[[#This Row],[Brand]])</f>
        <v>Jaguar</v>
      </c>
      <c r="E582" t="s">
        <v>15</v>
      </c>
      <c r="F582">
        <v>15.65</v>
      </c>
      <c r="G582" t="s">
        <v>1838</v>
      </c>
      <c r="H58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$15.65</v>
      </c>
      <c r="I582" t="str">
        <f>LEFT(Table2[[#This Row],[priceWithCurrency]],3)</f>
        <v xml:space="preserve">US </v>
      </c>
      <c r="J582">
        <v>93</v>
      </c>
      <c r="K582" t="str">
        <f>IF(Table2[[#This Row],[Available]]&lt;=50, "Less Stock", "Required stock" )</f>
        <v>Required stock</v>
      </c>
      <c r="L582">
        <f t="shared" si="9"/>
        <v>1900.74</v>
      </c>
      <c r="M582" t="s">
        <v>1839</v>
      </c>
      <c r="N582">
        <v>2777</v>
      </c>
      <c r="O582" t="s">
        <v>1840</v>
      </c>
      <c r="P582" t="str">
        <f>RIGHT(RIGHT(Table2[[#This Row],[last Updated]],12),4)</f>
        <v xml:space="preserve"> PDT</v>
      </c>
      <c r="Q582" t="s">
        <v>121</v>
      </c>
    </row>
    <row r="583" spans="1:17" x14ac:dyDescent="0.25">
      <c r="A583" t="s">
        <v>1841</v>
      </c>
      <c r="B583" t="str">
        <f>UPPER(Table2[[#This Row],[Brand]])</f>
        <v>BRANDED</v>
      </c>
      <c r="C583" t="str">
        <f>LOWER(Table2[[#This Row],[Brand]])</f>
        <v>branded</v>
      </c>
      <c r="D583" t="str">
        <f>PROPER(Table2[[#This Row],[Brand]])</f>
        <v>Branded</v>
      </c>
      <c r="E583" t="s">
        <v>32</v>
      </c>
      <c r="F583">
        <v>17.989999999999998</v>
      </c>
      <c r="G583" t="s">
        <v>1128</v>
      </c>
      <c r="H58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$17.99</v>
      </c>
      <c r="I583" t="str">
        <f>LEFT(Table2[[#This Row],[priceWithCurrency]],3)</f>
        <v xml:space="preserve">US </v>
      </c>
      <c r="J583">
        <v>13</v>
      </c>
      <c r="K583" t="str">
        <f>IF(Table2[[#This Row],[Available]]&lt;=50, "Less Stock", "Required stock" )</f>
        <v>Less Stock</v>
      </c>
      <c r="L583">
        <f t="shared" si="9"/>
        <v>1179.81</v>
      </c>
      <c r="M583" t="s">
        <v>1842</v>
      </c>
      <c r="N583">
        <v>1</v>
      </c>
      <c r="P583" t="str">
        <f>RIGHT(RIGHT(Table2[[#This Row],[last Updated]],12),4)</f>
        <v/>
      </c>
      <c r="Q583" t="s">
        <v>1843</v>
      </c>
    </row>
    <row r="584" spans="1:17" x14ac:dyDescent="0.25">
      <c r="A584" t="s">
        <v>20</v>
      </c>
      <c r="B584" t="str">
        <f>UPPER(Table2[[#This Row],[Brand]])</f>
        <v>GIORGIO ARMANI</v>
      </c>
      <c r="C584" t="str">
        <f>LOWER(Table2[[#This Row],[Brand]])</f>
        <v>giorgio armani</v>
      </c>
      <c r="D584" t="str">
        <f>PROPER(Table2[[#This Row],[Brand]])</f>
        <v>Giorgio Armani</v>
      </c>
      <c r="E584" t="s">
        <v>4</v>
      </c>
      <c r="F584">
        <v>79.89</v>
      </c>
      <c r="G584" t="s">
        <v>1844</v>
      </c>
      <c r="H58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$79.89</v>
      </c>
      <c r="I584" t="str">
        <f>LEFT(Table2[[#This Row],[priceWithCurrency]],3)</f>
        <v xml:space="preserve">US </v>
      </c>
      <c r="J584">
        <v>3</v>
      </c>
      <c r="K584" t="str">
        <f>IF(Table2[[#This Row],[Available]]&lt;=50, "Less Stock", "Required stock" )</f>
        <v>Less Stock</v>
      </c>
      <c r="L584">
        <f t="shared" si="9"/>
        <v>35.25</v>
      </c>
      <c r="M584" t="s">
        <v>1728</v>
      </c>
      <c r="N584">
        <v>15</v>
      </c>
      <c r="O584" t="s">
        <v>1845</v>
      </c>
      <c r="P584" t="str">
        <f>RIGHT(RIGHT(Table2[[#This Row],[last Updated]],12),4)</f>
        <v xml:space="preserve"> PDT</v>
      </c>
      <c r="Q584" t="s">
        <v>30</v>
      </c>
    </row>
    <row r="585" spans="1:17" x14ac:dyDescent="0.25">
      <c r="A585" t="s">
        <v>586</v>
      </c>
      <c r="B585" t="str">
        <f>UPPER(Table2[[#This Row],[Brand]])</f>
        <v>PARFUMS DE MARLY</v>
      </c>
      <c r="C585" t="str">
        <f>LOWER(Table2[[#This Row],[Brand]])</f>
        <v>parfums de marly</v>
      </c>
      <c r="D585" t="str">
        <f>PROPER(Table2[[#This Row],[Brand]])</f>
        <v>Parfums De Marly</v>
      </c>
      <c r="E585" t="s">
        <v>4</v>
      </c>
      <c r="F585">
        <v>13.95</v>
      </c>
      <c r="G585" t="s">
        <v>1846</v>
      </c>
      <c r="H58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$13.95</v>
      </c>
      <c r="I585" t="str">
        <f>LEFT(Table2[[#This Row],[priceWithCurrency]],3)</f>
        <v xml:space="preserve">US </v>
      </c>
      <c r="J585">
        <v>7</v>
      </c>
      <c r="K585" t="str">
        <f>IF(Table2[[#This Row],[Available]]&lt;=50, "Less Stock", "Required stock" )</f>
        <v>Less Stock</v>
      </c>
      <c r="L585">
        <f t="shared" si="9"/>
        <v>16.489999999999998</v>
      </c>
      <c r="M585" t="s">
        <v>1847</v>
      </c>
      <c r="N585">
        <v>41</v>
      </c>
      <c r="O585" t="s">
        <v>1848</v>
      </c>
      <c r="P585" t="str">
        <f>RIGHT(RIGHT(Table2[[#This Row],[last Updated]],12),4)</f>
        <v xml:space="preserve"> PDT</v>
      </c>
      <c r="Q585" t="s">
        <v>793</v>
      </c>
    </row>
    <row r="586" spans="1:17" x14ac:dyDescent="0.25">
      <c r="A586" t="s">
        <v>20</v>
      </c>
      <c r="B586" t="str">
        <f>UPPER(Table2[[#This Row],[Brand]])</f>
        <v>GIORGIO ARMANI</v>
      </c>
      <c r="C586" t="str">
        <f>LOWER(Table2[[#This Row],[Brand]])</f>
        <v>giorgio armani</v>
      </c>
      <c r="D586" t="str">
        <f>PROPER(Table2[[#This Row],[Brand]])</f>
        <v>Giorgio Armani</v>
      </c>
      <c r="E586" t="s">
        <v>841</v>
      </c>
      <c r="F586">
        <v>94.43</v>
      </c>
      <c r="G586" t="s">
        <v>1849</v>
      </c>
      <c r="H58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$94.43</v>
      </c>
      <c r="I586" t="str">
        <f>LEFT(Table2[[#This Row],[priceWithCurrency]],3)</f>
        <v xml:space="preserve">US </v>
      </c>
      <c r="J586">
        <v>10</v>
      </c>
      <c r="K586" t="str">
        <f>IF(Table2[[#This Row],[Available]]&lt;=50, "Less Stock", "Required stock" )</f>
        <v>Less Stock</v>
      </c>
      <c r="L586">
        <f t="shared" si="9"/>
        <v>1852.5500000000002</v>
      </c>
      <c r="M586" t="s">
        <v>1850</v>
      </c>
      <c r="N586">
        <v>98</v>
      </c>
      <c r="O586" t="s">
        <v>1851</v>
      </c>
      <c r="P586" t="str">
        <f>RIGHT(RIGHT(Table2[[#This Row],[last Updated]],12),4)</f>
        <v xml:space="preserve"> PDT</v>
      </c>
      <c r="Q586" t="s">
        <v>226</v>
      </c>
    </row>
    <row r="587" spans="1:17" x14ac:dyDescent="0.25">
      <c r="A587" t="s">
        <v>860</v>
      </c>
      <c r="B587" t="str">
        <f>UPPER(Table2[[#This Row],[Brand]])</f>
        <v>LIZ CLAIBORNE</v>
      </c>
      <c r="C587" t="str">
        <f>LOWER(Table2[[#This Row],[Brand]])</f>
        <v>liz claiborne</v>
      </c>
      <c r="D587" t="str">
        <f>PROPER(Table2[[#This Row],[Brand]])</f>
        <v>Liz Claiborne</v>
      </c>
      <c r="E587" t="s">
        <v>374</v>
      </c>
      <c r="F587">
        <v>16.71</v>
      </c>
      <c r="G587" t="s">
        <v>1852</v>
      </c>
      <c r="H58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$16.71</v>
      </c>
      <c r="I587" t="str">
        <f>LEFT(Table2[[#This Row],[priceWithCurrency]],3)</f>
        <v xml:space="preserve">US </v>
      </c>
      <c r="J587">
        <v>83</v>
      </c>
      <c r="K587" t="str">
        <f>IF(Table2[[#This Row],[Available]]&lt;=50, "Less Stock", "Required stock" )</f>
        <v>Required stock</v>
      </c>
      <c r="L587">
        <f t="shared" si="9"/>
        <v>26.75</v>
      </c>
      <c r="M587" t="s">
        <v>1853</v>
      </c>
      <c r="N587">
        <v>7816</v>
      </c>
      <c r="O587" t="s">
        <v>1854</v>
      </c>
      <c r="P587" t="str">
        <f>RIGHT(RIGHT(Table2[[#This Row],[last Updated]],12),4)</f>
        <v xml:space="preserve"> PDT</v>
      </c>
      <c r="Q587" t="s">
        <v>121</v>
      </c>
    </row>
    <row r="588" spans="1:17" x14ac:dyDescent="0.25">
      <c r="A588" t="s">
        <v>61</v>
      </c>
      <c r="B588" t="str">
        <f>UPPER(Table2[[#This Row],[Brand]])</f>
        <v>DOLCE&amp;GABBANA</v>
      </c>
      <c r="C588" t="str">
        <f>LOWER(Table2[[#This Row],[Brand]])</f>
        <v>dolce&amp;gabbana</v>
      </c>
      <c r="D588" t="str">
        <f>PROPER(Table2[[#This Row],[Brand]])</f>
        <v>Dolce&amp;Gabbana</v>
      </c>
      <c r="E588" t="s">
        <v>15</v>
      </c>
      <c r="F588">
        <v>27.99</v>
      </c>
      <c r="G588" t="s">
        <v>1373</v>
      </c>
      <c r="H58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$27.99</v>
      </c>
      <c r="I588" t="str">
        <f>LEFT(Table2[[#This Row],[priceWithCurrency]],3)</f>
        <v xml:space="preserve">US </v>
      </c>
      <c r="J588">
        <v>10</v>
      </c>
      <c r="K588" t="str">
        <f>IF(Table2[[#This Row],[Available]]&lt;=50, "Less Stock", "Required stock" )</f>
        <v>Less Stock</v>
      </c>
      <c r="L588">
        <f t="shared" si="9"/>
        <v>1209.8</v>
      </c>
      <c r="M588" t="s">
        <v>495</v>
      </c>
      <c r="N588">
        <v>9</v>
      </c>
      <c r="P588" t="str">
        <f>RIGHT(RIGHT(Table2[[#This Row],[last Updated]],12),4)</f>
        <v/>
      </c>
      <c r="Q588" t="s">
        <v>1855</v>
      </c>
    </row>
    <row r="589" spans="1:17" x14ac:dyDescent="0.25">
      <c r="A589" t="s">
        <v>109</v>
      </c>
      <c r="B589" t="str">
        <f>UPPER(Table2[[#This Row],[Brand]])</f>
        <v>CLINIQUE</v>
      </c>
      <c r="C589" t="str">
        <f>LOWER(Table2[[#This Row],[Brand]])</f>
        <v>clinique</v>
      </c>
      <c r="D589" t="str">
        <f>PROPER(Table2[[#This Row],[Brand]])</f>
        <v>Clinique</v>
      </c>
      <c r="E589" t="s">
        <v>4</v>
      </c>
      <c r="F589">
        <v>17.98</v>
      </c>
      <c r="G589" t="s">
        <v>1227</v>
      </c>
      <c r="H58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$17.98</v>
      </c>
      <c r="I589" t="str">
        <f>LEFT(Table2[[#This Row],[priceWithCurrency]],3)</f>
        <v xml:space="preserve">US </v>
      </c>
      <c r="J589">
        <v>10</v>
      </c>
      <c r="K589" t="str">
        <f>IF(Table2[[#This Row],[Available]]&lt;=50, "Less Stock", "Required stock" )</f>
        <v>Less Stock</v>
      </c>
      <c r="L589">
        <f t="shared" si="9"/>
        <v>1866.0500000000002</v>
      </c>
      <c r="M589" t="s">
        <v>1437</v>
      </c>
      <c r="N589">
        <v>40</v>
      </c>
      <c r="O589" t="s">
        <v>1856</v>
      </c>
      <c r="P589" t="str">
        <f>RIGHT(RIGHT(Table2[[#This Row],[last Updated]],12),4)</f>
        <v xml:space="preserve"> PDT</v>
      </c>
      <c r="Q589" t="s">
        <v>1230</v>
      </c>
    </row>
    <row r="590" spans="1:17" x14ac:dyDescent="0.25">
      <c r="A590" t="s">
        <v>61</v>
      </c>
      <c r="B590" t="str">
        <f>UPPER(Table2[[#This Row],[Brand]])</f>
        <v>DOLCE&amp;GABBANA</v>
      </c>
      <c r="C590" t="str">
        <f>LOWER(Table2[[#This Row],[Brand]])</f>
        <v>dolce&amp;gabbana</v>
      </c>
      <c r="D590" t="str">
        <f>PROPER(Table2[[#This Row],[Brand]])</f>
        <v>Dolce&amp;Gabbana</v>
      </c>
      <c r="E590" t="s">
        <v>4</v>
      </c>
      <c r="F590">
        <v>119.99</v>
      </c>
      <c r="G590" t="s">
        <v>1857</v>
      </c>
      <c r="H59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$119.99</v>
      </c>
      <c r="I590" t="str">
        <f>LEFT(Table2[[#This Row],[priceWithCurrency]],3)</f>
        <v xml:space="preserve">US </v>
      </c>
      <c r="J590">
        <v>6</v>
      </c>
      <c r="K590" t="str">
        <f>IF(Table2[[#This Row],[Available]]&lt;=50, "Less Stock", "Required stock" )</f>
        <v>Less Stock</v>
      </c>
      <c r="L590">
        <f t="shared" si="9"/>
        <v>1215.8</v>
      </c>
      <c r="M590" t="s">
        <v>1858</v>
      </c>
      <c r="N590">
        <v>21</v>
      </c>
      <c r="O590" t="s">
        <v>1859</v>
      </c>
      <c r="P590" t="str">
        <f>RIGHT(RIGHT(Table2[[#This Row],[last Updated]],12),4)</f>
        <v xml:space="preserve"> PDT</v>
      </c>
      <c r="Q590" t="s">
        <v>1860</v>
      </c>
    </row>
    <row r="591" spans="1:17" x14ac:dyDescent="0.25">
      <c r="A591" t="s">
        <v>1861</v>
      </c>
      <c r="B591" t="str">
        <f>UPPER(Table2[[#This Row],[Brand]])</f>
        <v>ACQUA DI GIO</v>
      </c>
      <c r="C591" t="str">
        <f>LOWER(Table2[[#This Row],[Brand]])</f>
        <v>acqua di gio</v>
      </c>
      <c r="D591" t="str">
        <f>PROPER(Table2[[#This Row],[Brand]])</f>
        <v>Acqua Di Gio</v>
      </c>
      <c r="E591" t="s">
        <v>15</v>
      </c>
      <c r="F591">
        <v>15.99</v>
      </c>
      <c r="G591" t="s">
        <v>1003</v>
      </c>
      <c r="H59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$15.99</v>
      </c>
      <c r="I591" t="str">
        <f>LEFT(Table2[[#This Row],[priceWithCurrency]],3)</f>
        <v xml:space="preserve">US </v>
      </c>
      <c r="J591">
        <v>9</v>
      </c>
      <c r="K591" t="str">
        <f>IF(Table2[[#This Row],[Available]]&lt;=50, "Less Stock", "Required stock" )</f>
        <v>Less Stock</v>
      </c>
      <c r="L591">
        <f t="shared" si="9"/>
        <v>1781.3400000000001</v>
      </c>
      <c r="M591" t="s">
        <v>1862</v>
      </c>
      <c r="N591">
        <v>78</v>
      </c>
      <c r="O591" t="s">
        <v>1863</v>
      </c>
      <c r="P591" t="str">
        <f>RIGHT(RIGHT(Table2[[#This Row],[last Updated]],12),4)</f>
        <v xml:space="preserve"> PDT</v>
      </c>
      <c r="Q591" t="s">
        <v>542</v>
      </c>
    </row>
    <row r="592" spans="1:17" x14ac:dyDescent="0.25">
      <c r="A592" t="s">
        <v>270</v>
      </c>
      <c r="B592" t="str">
        <f>UPPER(Table2[[#This Row],[Brand]])</f>
        <v>YVES SAINT LAURENT</v>
      </c>
      <c r="C592" t="str">
        <f>LOWER(Table2[[#This Row],[Brand]])</f>
        <v>yves saint laurent</v>
      </c>
      <c r="D592" t="str">
        <f>PROPER(Table2[[#This Row],[Brand]])</f>
        <v>Yves Saint Laurent</v>
      </c>
      <c r="E592" t="s">
        <v>15</v>
      </c>
      <c r="F592">
        <v>75.989999999999995</v>
      </c>
      <c r="G592" t="s">
        <v>1864</v>
      </c>
      <c r="H59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$75.99</v>
      </c>
      <c r="I592" t="str">
        <f>LEFT(Table2[[#This Row],[priceWithCurrency]],3)</f>
        <v xml:space="preserve">US </v>
      </c>
      <c r="J592">
        <v>10</v>
      </c>
      <c r="K592" t="str">
        <f>IF(Table2[[#This Row],[Available]]&lt;=50, "Less Stock", "Required stock" )</f>
        <v>Less Stock</v>
      </c>
      <c r="L592">
        <f t="shared" si="9"/>
        <v>1141.21</v>
      </c>
      <c r="M592" t="s">
        <v>1110</v>
      </c>
      <c r="N592">
        <v>19</v>
      </c>
      <c r="O592" t="s">
        <v>1865</v>
      </c>
      <c r="P592" t="str">
        <f>RIGHT(RIGHT(Table2[[#This Row],[last Updated]],12),4)</f>
        <v xml:space="preserve"> PDT</v>
      </c>
      <c r="Q592" t="s">
        <v>1635</v>
      </c>
    </row>
    <row r="593" spans="1:17" x14ac:dyDescent="0.25">
      <c r="A593" t="s">
        <v>335</v>
      </c>
      <c r="B593" t="str">
        <f>UPPER(Table2[[#This Row],[Brand]])</f>
        <v>COLOGNE</v>
      </c>
      <c r="C593" t="str">
        <f>LOWER(Table2[[#This Row],[Brand]])</f>
        <v>cologne</v>
      </c>
      <c r="D593" t="str">
        <f>PROPER(Table2[[#This Row],[Brand]])</f>
        <v>Cologne</v>
      </c>
      <c r="E593" t="s">
        <v>15</v>
      </c>
      <c r="F593">
        <v>14.99</v>
      </c>
      <c r="G593" t="s">
        <v>33</v>
      </c>
      <c r="H59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$14.99</v>
      </c>
      <c r="I593" t="str">
        <f>LEFT(Table2[[#This Row],[priceWithCurrency]],3)</f>
        <v xml:space="preserve">US </v>
      </c>
      <c r="J593">
        <v>7</v>
      </c>
      <c r="K593" t="str">
        <f>IF(Table2[[#This Row],[Available]]&lt;=50, "Less Stock", "Required stock" )</f>
        <v>Less Stock</v>
      </c>
      <c r="L593">
        <f t="shared" si="9"/>
        <v>1099.42</v>
      </c>
      <c r="M593" t="s">
        <v>1866</v>
      </c>
      <c r="N593">
        <v>72</v>
      </c>
      <c r="O593" t="s">
        <v>1867</v>
      </c>
      <c r="P593" t="str">
        <f>RIGHT(RIGHT(Table2[[#This Row],[last Updated]],12),4)</f>
        <v xml:space="preserve"> PDT</v>
      </c>
      <c r="Q593" t="s">
        <v>1868</v>
      </c>
    </row>
    <row r="594" spans="1:17" x14ac:dyDescent="0.25">
      <c r="A594" t="s">
        <v>1869</v>
      </c>
      <c r="B594" t="str">
        <f>UPPER(Table2[[#This Row],[Brand]])</f>
        <v>REYANE TRADITION</v>
      </c>
      <c r="C594" t="str">
        <f>LOWER(Table2[[#This Row],[Brand]])</f>
        <v>reyane tradition</v>
      </c>
      <c r="D594" t="str">
        <f>PROPER(Table2[[#This Row],[Brand]])</f>
        <v>Reyane Tradition</v>
      </c>
      <c r="E594" t="s">
        <v>15</v>
      </c>
      <c r="F594">
        <v>25.96</v>
      </c>
      <c r="G594" t="s">
        <v>1870</v>
      </c>
      <c r="H59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$25.96</v>
      </c>
      <c r="I594" t="str">
        <f>LEFT(Table2[[#This Row],[priceWithCurrency]],3)</f>
        <v xml:space="preserve">US </v>
      </c>
      <c r="K594" t="str">
        <f>IF(Table2[[#This Row],[Available]]&lt;=50, "Less Stock", "Required stock" )</f>
        <v>Less Stock</v>
      </c>
      <c r="L594">
        <f t="shared" si="9"/>
        <v>1791.2300000000002</v>
      </c>
      <c r="M594" t="s">
        <v>1871</v>
      </c>
      <c r="N594">
        <v>214</v>
      </c>
      <c r="O594" t="s">
        <v>1872</v>
      </c>
      <c r="P594" t="str">
        <f>RIGHT(RIGHT(Table2[[#This Row],[last Updated]],12),4)</f>
        <v xml:space="preserve"> PDT</v>
      </c>
      <c r="Q594" t="s">
        <v>121</v>
      </c>
    </row>
    <row r="595" spans="1:17" x14ac:dyDescent="0.25">
      <c r="A595" t="s">
        <v>1869</v>
      </c>
      <c r="B595" t="str">
        <f>UPPER(Table2[[#This Row],[Brand]])</f>
        <v>REYANE TRADITION</v>
      </c>
      <c r="C595" t="str">
        <f>LOWER(Table2[[#This Row],[Brand]])</f>
        <v>reyane tradition</v>
      </c>
      <c r="D595" t="str">
        <f>PROPER(Table2[[#This Row],[Brand]])</f>
        <v>Reyane Tradition</v>
      </c>
      <c r="E595" t="s">
        <v>15</v>
      </c>
      <c r="F595">
        <v>22.99</v>
      </c>
      <c r="G595" t="s">
        <v>923</v>
      </c>
      <c r="H59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$22.99</v>
      </c>
      <c r="I595" t="str">
        <f>LEFT(Table2[[#This Row],[priceWithCurrency]],3)</f>
        <v xml:space="preserve">US </v>
      </c>
      <c r="K595" t="str">
        <f>IF(Table2[[#This Row],[Available]]&lt;=50, "Less Stock", "Required stock" )</f>
        <v>Less Stock</v>
      </c>
      <c r="L595">
        <f t="shared" si="9"/>
        <v>1791.2300000000002</v>
      </c>
      <c r="M595" t="s">
        <v>1873</v>
      </c>
      <c r="N595">
        <v>12</v>
      </c>
      <c r="O595" t="s">
        <v>1874</v>
      </c>
      <c r="P595" t="str">
        <f>RIGHT(RIGHT(Table2[[#This Row],[last Updated]],12),4)</f>
        <v xml:space="preserve"> PDT</v>
      </c>
      <c r="Q595" t="s">
        <v>480</v>
      </c>
    </row>
    <row r="596" spans="1:17" x14ac:dyDescent="0.25">
      <c r="A596" t="s">
        <v>1875</v>
      </c>
      <c r="B596" t="str">
        <f>UPPER(Table2[[#This Row],[Brand]])</f>
        <v>OLD SPICE</v>
      </c>
      <c r="C596" t="str">
        <f>LOWER(Table2[[#This Row],[Brand]])</f>
        <v>old spice</v>
      </c>
      <c r="D596" t="str">
        <f>PROPER(Table2[[#This Row],[Brand]])</f>
        <v>Old Spice</v>
      </c>
      <c r="E596" t="s">
        <v>374</v>
      </c>
      <c r="F596">
        <v>19.989999999999998</v>
      </c>
      <c r="G596" t="s">
        <v>1072</v>
      </c>
      <c r="H59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$19.99</v>
      </c>
      <c r="I596" t="str">
        <f>LEFT(Table2[[#This Row],[priceWithCurrency]],3)</f>
        <v xml:space="preserve">US </v>
      </c>
      <c r="J596">
        <v>2</v>
      </c>
      <c r="K596" t="str">
        <f>IF(Table2[[#This Row],[Available]]&lt;=50, "Less Stock", "Required stock" )</f>
        <v>Less Stock</v>
      </c>
      <c r="L596">
        <f t="shared" si="9"/>
        <v>949.56000000000017</v>
      </c>
      <c r="M596" t="s">
        <v>1876</v>
      </c>
      <c r="N596">
        <v>132</v>
      </c>
      <c r="O596" t="s">
        <v>1877</v>
      </c>
      <c r="P596" t="str">
        <f>RIGHT(RIGHT(Table2[[#This Row],[last Updated]],12),4)</f>
        <v xml:space="preserve"> PDT</v>
      </c>
      <c r="Q596" t="s">
        <v>1019</v>
      </c>
    </row>
    <row r="597" spans="1:17" x14ac:dyDescent="0.25">
      <c r="A597" t="s">
        <v>1726</v>
      </c>
      <c r="B597" t="str">
        <f>UPPER(Table2[[#This Row],[Brand]])</f>
        <v>MERCEDES-BENZ</v>
      </c>
      <c r="C597" t="str">
        <f>LOWER(Table2[[#This Row],[Brand]])</f>
        <v>mercedes-benz</v>
      </c>
      <c r="D597" t="str">
        <f>PROPER(Table2[[#This Row],[Brand]])</f>
        <v>Mercedes-Benz</v>
      </c>
      <c r="E597" t="s">
        <v>15</v>
      </c>
      <c r="F597">
        <v>38.99</v>
      </c>
      <c r="G597" t="s">
        <v>763</v>
      </c>
      <c r="H59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$38.99</v>
      </c>
      <c r="I597" t="str">
        <f>LEFT(Table2[[#This Row],[priceWithCurrency]],3)</f>
        <v xml:space="preserve">US </v>
      </c>
      <c r="J597">
        <v>33</v>
      </c>
      <c r="K597" t="str">
        <f>IF(Table2[[#This Row],[Available]]&lt;=50, "Less Stock", "Required stock" )</f>
        <v>Less Stock</v>
      </c>
      <c r="L597">
        <f t="shared" si="9"/>
        <v>35.25</v>
      </c>
      <c r="M597" t="s">
        <v>1878</v>
      </c>
      <c r="N597">
        <v>7</v>
      </c>
      <c r="O597" t="s">
        <v>1879</v>
      </c>
      <c r="P597" t="str">
        <f>RIGHT(RIGHT(Table2[[#This Row],[last Updated]],12),4)</f>
        <v xml:space="preserve"> PDT</v>
      </c>
      <c r="Q597" t="s">
        <v>89</v>
      </c>
    </row>
    <row r="598" spans="1:17" x14ac:dyDescent="0.25">
      <c r="A598" t="s">
        <v>61</v>
      </c>
      <c r="B598" t="str">
        <f>UPPER(Table2[[#This Row],[Brand]])</f>
        <v>DOLCE&amp;GABBANA</v>
      </c>
      <c r="C598" t="str">
        <f>LOWER(Table2[[#This Row],[Brand]])</f>
        <v>dolce&amp;gabbana</v>
      </c>
      <c r="D598" t="str">
        <f>PROPER(Table2[[#This Row],[Brand]])</f>
        <v>Dolce&amp;Gabbana</v>
      </c>
      <c r="E598" t="s">
        <v>4</v>
      </c>
      <c r="F598">
        <v>75</v>
      </c>
      <c r="G598" t="s">
        <v>1880</v>
      </c>
      <c r="H59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$75.00</v>
      </c>
      <c r="I598" t="str">
        <f>LEFT(Table2[[#This Row],[priceWithCurrency]],3)</f>
        <v xml:space="preserve">US </v>
      </c>
      <c r="J598">
        <v>7</v>
      </c>
      <c r="K598" t="str">
        <f>IF(Table2[[#This Row],[Available]]&lt;=50, "Less Stock", "Required stock" )</f>
        <v>Less Stock</v>
      </c>
      <c r="L598">
        <f t="shared" si="9"/>
        <v>931.6400000000001</v>
      </c>
      <c r="M598" t="s">
        <v>1881</v>
      </c>
      <c r="N598">
        <v>1</v>
      </c>
      <c r="P598" t="str">
        <f>RIGHT(RIGHT(Table2[[#This Row],[last Updated]],12),4)</f>
        <v/>
      </c>
      <c r="Q598" t="s">
        <v>1616</v>
      </c>
    </row>
    <row r="599" spans="1:17" x14ac:dyDescent="0.25">
      <c r="A599" t="s">
        <v>504</v>
      </c>
      <c r="B599" t="str">
        <f>UPPER(Table2[[#This Row],[Brand]])</f>
        <v>BURBERRY</v>
      </c>
      <c r="C599" t="str">
        <f>LOWER(Table2[[#This Row],[Brand]])</f>
        <v>burberry</v>
      </c>
      <c r="D599" t="str">
        <f>PROPER(Table2[[#This Row],[Brand]])</f>
        <v>Burberry</v>
      </c>
      <c r="E599" t="s">
        <v>15</v>
      </c>
      <c r="F599">
        <v>30.95</v>
      </c>
      <c r="G599" t="s">
        <v>1069</v>
      </c>
      <c r="H59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$30.95</v>
      </c>
      <c r="I599" t="str">
        <f>LEFT(Table2[[#This Row],[priceWithCurrency]],3)</f>
        <v xml:space="preserve">US </v>
      </c>
      <c r="J599">
        <v>10</v>
      </c>
      <c r="K599" t="str">
        <f>IF(Table2[[#This Row],[Available]]&lt;=50, "Less Stock", "Required stock" )</f>
        <v>Less Stock</v>
      </c>
      <c r="L599">
        <f t="shared" si="9"/>
        <v>1852.1800000000003</v>
      </c>
      <c r="M599" t="s">
        <v>474</v>
      </c>
      <c r="N599">
        <v>16</v>
      </c>
      <c r="O599" t="s">
        <v>1882</v>
      </c>
      <c r="P599" t="str">
        <f>RIGHT(RIGHT(Table2[[#This Row],[last Updated]],12),4)</f>
        <v xml:space="preserve"> PDT</v>
      </c>
      <c r="Q599" t="s">
        <v>406</v>
      </c>
    </row>
    <row r="600" spans="1:17" x14ac:dyDescent="0.25">
      <c r="A600" t="s">
        <v>666</v>
      </c>
      <c r="B600" t="str">
        <f>UPPER(Table2[[#This Row],[Brand]])</f>
        <v>BATH &amp; BODY WORKS</v>
      </c>
      <c r="C600" t="str">
        <f>LOWER(Table2[[#This Row],[Brand]])</f>
        <v>bath &amp; body works</v>
      </c>
      <c r="D600" t="str">
        <f>PROPER(Table2[[#This Row],[Brand]])</f>
        <v>Bath &amp; Body Works</v>
      </c>
      <c r="E600" t="s">
        <v>335</v>
      </c>
      <c r="F600">
        <v>59.97</v>
      </c>
      <c r="G600" t="s">
        <v>1883</v>
      </c>
      <c r="H60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$59.97</v>
      </c>
      <c r="I600" t="str">
        <f>LEFT(Table2[[#This Row],[priceWithCurrency]],3)</f>
        <v xml:space="preserve">US </v>
      </c>
      <c r="J600">
        <v>10</v>
      </c>
      <c r="K600" t="str">
        <f>IF(Table2[[#This Row],[Available]]&lt;=50, "Less Stock", "Required stock" )</f>
        <v>Less Stock</v>
      </c>
      <c r="L600">
        <f t="shared" si="9"/>
        <v>1113.5400000000002</v>
      </c>
      <c r="M600" t="s">
        <v>1411</v>
      </c>
      <c r="N600">
        <v>35</v>
      </c>
      <c r="O600" t="s">
        <v>1884</v>
      </c>
      <c r="P600" t="str">
        <f>RIGHT(RIGHT(Table2[[#This Row],[last Updated]],12),4)</f>
        <v xml:space="preserve"> PDT</v>
      </c>
      <c r="Q600" t="s">
        <v>1885</v>
      </c>
    </row>
    <row r="601" spans="1:17" x14ac:dyDescent="0.25">
      <c r="A601" t="s">
        <v>504</v>
      </c>
      <c r="B601" t="str">
        <f>UPPER(Table2[[#This Row],[Brand]])</f>
        <v>BURBERRY</v>
      </c>
      <c r="C601" t="str">
        <f>LOWER(Table2[[#This Row],[Brand]])</f>
        <v>burberry</v>
      </c>
      <c r="D601" t="str">
        <f>PROPER(Table2[[#This Row],[Brand]])</f>
        <v>Burberry</v>
      </c>
      <c r="E601" t="s">
        <v>15</v>
      </c>
      <c r="F601">
        <v>32.979999999999997</v>
      </c>
      <c r="G601" t="s">
        <v>1181</v>
      </c>
      <c r="H60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$32.98</v>
      </c>
      <c r="I601" t="str">
        <f>LEFT(Table2[[#This Row],[priceWithCurrency]],3)</f>
        <v xml:space="preserve">US </v>
      </c>
      <c r="J601">
        <v>10</v>
      </c>
      <c r="K601" t="str">
        <f>IF(Table2[[#This Row],[Available]]&lt;=50, "Less Stock", "Required stock" )</f>
        <v>Less Stock</v>
      </c>
      <c r="L601">
        <f t="shared" si="9"/>
        <v>1852.1800000000003</v>
      </c>
      <c r="M601" t="s">
        <v>1886</v>
      </c>
      <c r="N601">
        <v>6188</v>
      </c>
      <c r="O601" t="s">
        <v>1887</v>
      </c>
      <c r="P601" t="str">
        <f>RIGHT(RIGHT(Table2[[#This Row],[last Updated]],12),4)</f>
        <v xml:space="preserve"> PDT</v>
      </c>
      <c r="Q601" t="s">
        <v>108</v>
      </c>
    </row>
    <row r="602" spans="1:17" x14ac:dyDescent="0.25">
      <c r="A602" t="s">
        <v>1235</v>
      </c>
      <c r="B602" t="str">
        <f>UPPER(Table2[[#This Row],[Brand]])</f>
        <v>PRADA</v>
      </c>
      <c r="C602" t="str">
        <f>LOWER(Table2[[#This Row],[Brand]])</f>
        <v>prada</v>
      </c>
      <c r="D602" t="str">
        <f>PROPER(Table2[[#This Row],[Brand]])</f>
        <v>Prada</v>
      </c>
      <c r="E602" t="s">
        <v>15</v>
      </c>
      <c r="F602">
        <v>8.8800000000000008</v>
      </c>
      <c r="G602" t="s">
        <v>1888</v>
      </c>
      <c r="H60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$8.88</v>
      </c>
      <c r="I602" t="str">
        <f>LEFT(Table2[[#This Row],[priceWithCurrency]],3)</f>
        <v xml:space="preserve">US </v>
      </c>
      <c r="J602">
        <v>10</v>
      </c>
      <c r="K602" t="str">
        <f>IF(Table2[[#This Row],[Available]]&lt;=50, "Less Stock", "Required stock" )</f>
        <v>Less Stock</v>
      </c>
      <c r="L602">
        <f t="shared" si="9"/>
        <v>242.43</v>
      </c>
      <c r="M602" t="s">
        <v>1211</v>
      </c>
      <c r="N602">
        <v>21</v>
      </c>
      <c r="O602" t="s">
        <v>1889</v>
      </c>
      <c r="P602" t="str">
        <f>RIGHT(RIGHT(Table2[[#This Row],[last Updated]],12),4)</f>
        <v xml:space="preserve"> PDT</v>
      </c>
      <c r="Q602" t="s">
        <v>1890</v>
      </c>
    </row>
    <row r="603" spans="1:17" x14ac:dyDescent="0.25">
      <c r="A603" t="s">
        <v>61</v>
      </c>
      <c r="B603" t="str">
        <f>UPPER(Table2[[#This Row],[Brand]])</f>
        <v>DOLCE&amp;GABBANA</v>
      </c>
      <c r="C603" t="str">
        <f>LOWER(Table2[[#This Row],[Brand]])</f>
        <v>dolce&amp;gabbana</v>
      </c>
      <c r="D603" t="str">
        <f>PROPER(Table2[[#This Row],[Brand]])</f>
        <v>Dolce&amp;Gabbana</v>
      </c>
      <c r="E603" t="s">
        <v>4</v>
      </c>
      <c r="F603">
        <v>114.99</v>
      </c>
      <c r="G603" t="s">
        <v>1463</v>
      </c>
      <c r="H60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$114.99</v>
      </c>
      <c r="I603" t="str">
        <f>LEFT(Table2[[#This Row],[priceWithCurrency]],3)</f>
        <v xml:space="preserve">US </v>
      </c>
      <c r="J603">
        <v>7</v>
      </c>
      <c r="K603" t="str">
        <f>IF(Table2[[#This Row],[Available]]&lt;=50, "Less Stock", "Required stock" )</f>
        <v>Less Stock</v>
      </c>
      <c r="L603">
        <f t="shared" si="9"/>
        <v>1932.1700000000003</v>
      </c>
      <c r="M603" t="s">
        <v>1528</v>
      </c>
      <c r="N603">
        <v>13</v>
      </c>
      <c r="O603" t="s">
        <v>1891</v>
      </c>
      <c r="P603" t="str">
        <f>RIGHT(RIGHT(Table2[[#This Row],[last Updated]],12),4)</f>
        <v xml:space="preserve"> PDT</v>
      </c>
      <c r="Q603" t="s">
        <v>1860</v>
      </c>
    </row>
    <row r="604" spans="1:17" x14ac:dyDescent="0.25">
      <c r="A604" t="s">
        <v>363</v>
      </c>
      <c r="B604" t="str">
        <f>UPPER(Table2[[#This Row],[Brand]])</f>
        <v>MIRAGE BRANDS</v>
      </c>
      <c r="C604" t="str">
        <f>LOWER(Table2[[#This Row],[Brand]])</f>
        <v>mirage brands</v>
      </c>
      <c r="D604" t="str">
        <f>PROPER(Table2[[#This Row],[Brand]])</f>
        <v>Mirage Brands</v>
      </c>
      <c r="E604" t="s">
        <v>15</v>
      </c>
      <c r="F604">
        <v>13.68</v>
      </c>
      <c r="G604" t="s">
        <v>1892</v>
      </c>
      <c r="H60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$13.68</v>
      </c>
      <c r="I604" t="str">
        <f>LEFT(Table2[[#This Row],[priceWithCurrency]],3)</f>
        <v xml:space="preserve">US </v>
      </c>
      <c r="J604">
        <v>10</v>
      </c>
      <c r="K604" t="str">
        <f>IF(Table2[[#This Row],[Available]]&lt;=50, "Less Stock", "Required stock" )</f>
        <v>Less Stock</v>
      </c>
      <c r="L604">
        <f t="shared" si="9"/>
        <v>1743.1800000000005</v>
      </c>
      <c r="M604" t="s">
        <v>1893</v>
      </c>
      <c r="N604">
        <v>105</v>
      </c>
      <c r="O604" t="s">
        <v>1894</v>
      </c>
      <c r="P604" t="str">
        <f>RIGHT(RIGHT(Table2[[#This Row],[last Updated]],12),4)</f>
        <v xml:space="preserve"> PDT</v>
      </c>
      <c r="Q604" t="s">
        <v>398</v>
      </c>
    </row>
    <row r="605" spans="1:17" x14ac:dyDescent="0.25">
      <c r="A605" t="s">
        <v>1895</v>
      </c>
      <c r="B605" t="str">
        <f>UPPER(Table2[[#This Row],[Brand]])</f>
        <v>LAUREN RALPH LAUREN</v>
      </c>
      <c r="C605" t="str">
        <f>LOWER(Table2[[#This Row],[Brand]])</f>
        <v>lauren ralph lauren</v>
      </c>
      <c r="D605" t="str">
        <f>PROPER(Table2[[#This Row],[Brand]])</f>
        <v>Lauren Ralph Lauren</v>
      </c>
      <c r="E605" t="s">
        <v>4</v>
      </c>
      <c r="F605">
        <v>45.7</v>
      </c>
      <c r="G605" t="s">
        <v>1896</v>
      </c>
      <c r="H60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$45.70</v>
      </c>
      <c r="I605" t="str">
        <f>LEFT(Table2[[#This Row],[priceWithCurrency]],3)</f>
        <v xml:space="preserve">US </v>
      </c>
      <c r="J605">
        <v>102</v>
      </c>
      <c r="K605" t="str">
        <f>IF(Table2[[#This Row],[Available]]&lt;=50, "Less Stock", "Required stock" )</f>
        <v>Required stock</v>
      </c>
      <c r="L605">
        <f t="shared" si="9"/>
        <v>1072.6600000000001</v>
      </c>
      <c r="M605" t="s">
        <v>1897</v>
      </c>
      <c r="N605">
        <v>420</v>
      </c>
      <c r="O605" t="s">
        <v>1898</v>
      </c>
      <c r="P605" t="str">
        <f>RIGHT(RIGHT(Table2[[#This Row],[last Updated]],12),4)</f>
        <v xml:space="preserve"> PDT</v>
      </c>
      <c r="Q605" t="s">
        <v>121</v>
      </c>
    </row>
    <row r="606" spans="1:17" x14ac:dyDescent="0.25">
      <c r="A606" t="s">
        <v>79</v>
      </c>
      <c r="B606" t="str">
        <f>UPPER(Table2[[#This Row],[Brand]])</f>
        <v>PACO RABANNE</v>
      </c>
      <c r="C606" t="str">
        <f>LOWER(Table2[[#This Row],[Brand]])</f>
        <v>paco rabanne</v>
      </c>
      <c r="D606" t="str">
        <f>PROPER(Table2[[#This Row],[Brand]])</f>
        <v>Paco Rabanne</v>
      </c>
      <c r="E606" t="s">
        <v>15</v>
      </c>
      <c r="F606">
        <v>77.150000000000006</v>
      </c>
      <c r="G606" t="s">
        <v>1899</v>
      </c>
      <c r="H60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$77.15</v>
      </c>
      <c r="I606" t="str">
        <f>LEFT(Table2[[#This Row],[priceWithCurrency]],3)</f>
        <v xml:space="preserve">US </v>
      </c>
      <c r="J606">
        <v>8</v>
      </c>
      <c r="K606" t="str">
        <f>IF(Table2[[#This Row],[Available]]&lt;=50, "Less Stock", "Required stock" )</f>
        <v>Less Stock</v>
      </c>
      <c r="L606">
        <f t="shared" si="9"/>
        <v>45.99</v>
      </c>
      <c r="M606" t="s">
        <v>1900</v>
      </c>
      <c r="N606">
        <v>293</v>
      </c>
      <c r="O606" t="s">
        <v>1901</v>
      </c>
      <c r="P606" t="str">
        <f>RIGHT(RIGHT(Table2[[#This Row],[last Updated]],12),4)</f>
        <v xml:space="preserve"> PDT</v>
      </c>
      <c r="Q606" t="s">
        <v>121</v>
      </c>
    </row>
    <row r="607" spans="1:17" x14ac:dyDescent="0.25">
      <c r="A607" t="s">
        <v>1214</v>
      </c>
      <c r="B607" t="str">
        <f>UPPER(Table2[[#This Row],[Brand]])</f>
        <v>VIKTOR &amp; ROLF</v>
      </c>
      <c r="C607" t="str">
        <f>LOWER(Table2[[#This Row],[Brand]])</f>
        <v>viktor &amp; rolf</v>
      </c>
      <c r="D607" t="str">
        <f>PROPER(Table2[[#This Row],[Brand]])</f>
        <v>Viktor &amp; Rolf</v>
      </c>
      <c r="E607" t="s">
        <v>15</v>
      </c>
      <c r="F607">
        <v>24.98</v>
      </c>
      <c r="G607" t="s">
        <v>1902</v>
      </c>
      <c r="H60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$24.98</v>
      </c>
      <c r="I607" t="str">
        <f>LEFT(Table2[[#This Row],[priceWithCurrency]],3)</f>
        <v xml:space="preserve">US </v>
      </c>
      <c r="J607">
        <v>7</v>
      </c>
      <c r="K607" t="str">
        <f>IF(Table2[[#This Row],[Available]]&lt;=50, "Less Stock", "Required stock" )</f>
        <v>Less Stock</v>
      </c>
      <c r="L607">
        <f t="shared" si="9"/>
        <v>1069.17</v>
      </c>
      <c r="M607" t="s">
        <v>1903</v>
      </c>
      <c r="N607">
        <v>8</v>
      </c>
      <c r="O607" t="s">
        <v>1904</v>
      </c>
      <c r="P607" t="str">
        <f>RIGHT(RIGHT(Table2[[#This Row],[last Updated]],12),4)</f>
        <v xml:space="preserve"> PDT</v>
      </c>
      <c r="Q607" t="s">
        <v>480</v>
      </c>
    </row>
    <row r="608" spans="1:17" x14ac:dyDescent="0.25">
      <c r="A608" t="s">
        <v>1717</v>
      </c>
      <c r="B608" t="str">
        <f>UPPER(Table2[[#This Row],[Brand]])</f>
        <v>MILESTONE PERFUMES</v>
      </c>
      <c r="C608" t="str">
        <f>LOWER(Table2[[#This Row],[Brand]])</f>
        <v>milestone perfumes</v>
      </c>
      <c r="D608" t="str">
        <f>PROPER(Table2[[#This Row],[Brand]])</f>
        <v>Milestone Perfumes</v>
      </c>
      <c r="E608" t="s">
        <v>1905</v>
      </c>
      <c r="F608">
        <v>19.89</v>
      </c>
      <c r="G608" t="s">
        <v>1906</v>
      </c>
      <c r="H60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$19.89</v>
      </c>
      <c r="I608" t="str">
        <f>LEFT(Table2[[#This Row],[priceWithCurrency]],3)</f>
        <v xml:space="preserve">US </v>
      </c>
      <c r="J608">
        <v>10</v>
      </c>
      <c r="K608" t="str">
        <f>IF(Table2[[#This Row],[Available]]&lt;=50, "Less Stock", "Required stock" )</f>
        <v>Less Stock</v>
      </c>
      <c r="L608">
        <f t="shared" si="9"/>
        <v>1181.18</v>
      </c>
      <c r="M608" t="s">
        <v>1211</v>
      </c>
      <c r="N608">
        <v>21</v>
      </c>
      <c r="O608" t="s">
        <v>1907</v>
      </c>
      <c r="P608" t="str">
        <f>RIGHT(RIGHT(Table2[[#This Row],[last Updated]],12),4)</f>
        <v xml:space="preserve"> PDT</v>
      </c>
      <c r="Q608" t="s">
        <v>89</v>
      </c>
    </row>
    <row r="609" spans="1:17" x14ac:dyDescent="0.25">
      <c r="A609" t="s">
        <v>871</v>
      </c>
      <c r="B609" t="str">
        <f>UPPER(Table2[[#This Row],[Brand]])</f>
        <v>BY AL HAMBRA</v>
      </c>
      <c r="C609" t="str">
        <f>LOWER(Table2[[#This Row],[Brand]])</f>
        <v>by al hambra</v>
      </c>
      <c r="D609" t="str">
        <f>PROPER(Table2[[#This Row],[Brand]])</f>
        <v>By Al Hambra</v>
      </c>
      <c r="E609" t="s">
        <v>4</v>
      </c>
      <c r="F609">
        <v>21.8</v>
      </c>
      <c r="G609" t="s">
        <v>1908</v>
      </c>
      <c r="H60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$21.80</v>
      </c>
      <c r="I609" t="str">
        <f>LEFT(Table2[[#This Row],[priceWithCurrency]],3)</f>
        <v xml:space="preserve">US </v>
      </c>
      <c r="J609">
        <v>10</v>
      </c>
      <c r="K609" t="str">
        <f>IF(Table2[[#This Row],[Available]]&lt;=50, "Less Stock", "Required stock" )</f>
        <v>Less Stock</v>
      </c>
      <c r="L609">
        <f t="shared" si="9"/>
        <v>1750.9800000000005</v>
      </c>
      <c r="M609" t="s">
        <v>572</v>
      </c>
      <c r="N609">
        <v>7</v>
      </c>
      <c r="O609" t="s">
        <v>1909</v>
      </c>
      <c r="P609" t="str">
        <f>RIGHT(RIGHT(Table2[[#This Row],[last Updated]],12),4)</f>
        <v xml:space="preserve"> PDT</v>
      </c>
      <c r="Q609" t="s">
        <v>480</v>
      </c>
    </row>
    <row r="610" spans="1:17" x14ac:dyDescent="0.25">
      <c r="A610" t="s">
        <v>20</v>
      </c>
      <c r="B610" t="str">
        <f>UPPER(Table2[[#This Row],[Brand]])</f>
        <v>GIORGIO ARMANI</v>
      </c>
      <c r="C610" t="str">
        <f>LOWER(Table2[[#This Row],[Brand]])</f>
        <v>giorgio armani</v>
      </c>
      <c r="D610" t="str">
        <f>PROPER(Table2[[#This Row],[Brand]])</f>
        <v>Giorgio Armani</v>
      </c>
      <c r="E610" t="s">
        <v>15</v>
      </c>
      <c r="F610">
        <v>27.9</v>
      </c>
      <c r="G610" t="s">
        <v>1910</v>
      </c>
      <c r="H61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$27.90</v>
      </c>
      <c r="I610" t="str">
        <f>LEFT(Table2[[#This Row],[priceWithCurrency]],3)</f>
        <v xml:space="preserve">US </v>
      </c>
      <c r="J610">
        <v>5</v>
      </c>
      <c r="K610" t="str">
        <f>IF(Table2[[#This Row],[Available]]&lt;=50, "Less Stock", "Required stock" )</f>
        <v>Less Stock</v>
      </c>
      <c r="L610">
        <f t="shared" si="9"/>
        <v>242.43</v>
      </c>
      <c r="M610" t="s">
        <v>1911</v>
      </c>
      <c r="N610">
        <v>157</v>
      </c>
      <c r="O610" t="s">
        <v>1912</v>
      </c>
      <c r="P610" t="str">
        <f>RIGHT(RIGHT(Table2[[#This Row],[last Updated]],12),4)</f>
        <v xml:space="preserve"> PDT</v>
      </c>
      <c r="Q610" t="s">
        <v>94</v>
      </c>
    </row>
    <row r="611" spans="1:17" x14ac:dyDescent="0.25">
      <c r="A611" t="s">
        <v>270</v>
      </c>
      <c r="B611" t="str">
        <f>UPPER(Table2[[#This Row],[Brand]])</f>
        <v>YVES SAINT LAURENT</v>
      </c>
      <c r="C611" t="str">
        <f>LOWER(Table2[[#This Row],[Brand]])</f>
        <v>yves saint laurent</v>
      </c>
      <c r="D611" t="str">
        <f>PROPER(Table2[[#This Row],[Brand]])</f>
        <v>Yves Saint Laurent</v>
      </c>
      <c r="E611" t="s">
        <v>15</v>
      </c>
      <c r="F611">
        <v>58.95</v>
      </c>
      <c r="G611" t="s">
        <v>1913</v>
      </c>
      <c r="H61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$58.95</v>
      </c>
      <c r="I611" t="str">
        <f>LEFT(Table2[[#This Row],[priceWithCurrency]],3)</f>
        <v xml:space="preserve">US </v>
      </c>
      <c r="J611">
        <v>150</v>
      </c>
      <c r="K611" t="str">
        <f>IF(Table2[[#This Row],[Available]]&lt;=50, "Less Stock", "Required stock" )</f>
        <v>Required stock</v>
      </c>
      <c r="L611">
        <f t="shared" si="9"/>
        <v>1680.9900000000005</v>
      </c>
      <c r="M611" t="s">
        <v>1914</v>
      </c>
      <c r="N611">
        <v>545</v>
      </c>
      <c r="O611" t="s">
        <v>1915</v>
      </c>
      <c r="P611" t="str">
        <f>RIGHT(RIGHT(Table2[[#This Row],[last Updated]],12),4)</f>
        <v xml:space="preserve"> PDT</v>
      </c>
      <c r="Q611" t="s">
        <v>121</v>
      </c>
    </row>
    <row r="612" spans="1:17" x14ac:dyDescent="0.25">
      <c r="A612" t="s">
        <v>799</v>
      </c>
      <c r="B612" t="str">
        <f>UPPER(Table2[[#This Row],[Brand]])</f>
        <v>CREED</v>
      </c>
      <c r="C612" t="str">
        <f>LOWER(Table2[[#This Row],[Brand]])</f>
        <v>creed</v>
      </c>
      <c r="D612" t="str">
        <f>PROPER(Table2[[#This Row],[Brand]])</f>
        <v>Creed</v>
      </c>
      <c r="E612" t="s">
        <v>4</v>
      </c>
      <c r="F612">
        <v>9.99</v>
      </c>
      <c r="G612" t="s">
        <v>1773</v>
      </c>
      <c r="H61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$9.99</v>
      </c>
      <c r="I612" t="str">
        <f>LEFT(Table2[[#This Row],[priceWithCurrency]],3)</f>
        <v xml:space="preserve">US </v>
      </c>
      <c r="J612">
        <v>10</v>
      </c>
      <c r="K612" t="str">
        <f>IF(Table2[[#This Row],[Available]]&lt;=50, "Less Stock", "Required stock" )</f>
        <v>Less Stock</v>
      </c>
      <c r="L612">
        <f t="shared" si="9"/>
        <v>1693.9800000000005</v>
      </c>
      <c r="M612" t="s">
        <v>1916</v>
      </c>
      <c r="N612">
        <v>141</v>
      </c>
      <c r="O612" t="s">
        <v>1917</v>
      </c>
      <c r="P612" t="str">
        <f>RIGHT(RIGHT(Table2[[#This Row],[last Updated]],12),4)</f>
        <v xml:space="preserve"> PDT</v>
      </c>
      <c r="Q612" t="s">
        <v>226</v>
      </c>
    </row>
    <row r="613" spans="1:17" x14ac:dyDescent="0.25">
      <c r="A613" t="s">
        <v>270</v>
      </c>
      <c r="B613" t="str">
        <f>UPPER(Table2[[#This Row],[Brand]])</f>
        <v>YVES SAINT LAURENT</v>
      </c>
      <c r="C613" t="str">
        <f>LOWER(Table2[[#This Row],[Brand]])</f>
        <v>yves saint laurent</v>
      </c>
      <c r="D613" t="str">
        <f>PROPER(Table2[[#This Row],[Brand]])</f>
        <v>Yves Saint Laurent</v>
      </c>
      <c r="E613" t="s">
        <v>4</v>
      </c>
      <c r="F613">
        <v>83.99</v>
      </c>
      <c r="G613" t="s">
        <v>1918</v>
      </c>
      <c r="H61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$83.99</v>
      </c>
      <c r="I613" t="str">
        <f>LEFT(Table2[[#This Row],[priceWithCurrency]],3)</f>
        <v xml:space="preserve">US </v>
      </c>
      <c r="J613">
        <v>5</v>
      </c>
      <c r="K613" t="str">
        <f>IF(Table2[[#This Row],[Available]]&lt;=50, "Less Stock", "Required stock" )</f>
        <v>Less Stock</v>
      </c>
      <c r="L613">
        <f t="shared" si="9"/>
        <v>1599.0500000000004</v>
      </c>
      <c r="M613" t="s">
        <v>540</v>
      </c>
      <c r="N613">
        <v>5</v>
      </c>
      <c r="O613" t="s">
        <v>1919</v>
      </c>
      <c r="P613" t="str">
        <f>RIGHT(RIGHT(Table2[[#This Row],[last Updated]],12),4)</f>
        <v xml:space="preserve"> PDT</v>
      </c>
      <c r="Q613" t="s">
        <v>1920</v>
      </c>
    </row>
    <row r="614" spans="1:17" x14ac:dyDescent="0.25">
      <c r="A614" t="s">
        <v>14</v>
      </c>
      <c r="B614" t="str">
        <f>UPPER(Table2[[#This Row],[Brand]])</f>
        <v>UNBRANDED</v>
      </c>
      <c r="C614" t="str">
        <f>LOWER(Table2[[#This Row],[Brand]])</f>
        <v>unbranded</v>
      </c>
      <c r="D614" t="str">
        <f>PROPER(Table2[[#This Row],[Brand]])</f>
        <v>Unbranded</v>
      </c>
      <c r="E614" t="s">
        <v>46</v>
      </c>
      <c r="F614">
        <v>15.89</v>
      </c>
      <c r="G614" t="s">
        <v>47</v>
      </c>
      <c r="H61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$15.89</v>
      </c>
      <c r="I614" t="str">
        <f>LEFT(Table2[[#This Row],[priceWithCurrency]],3)</f>
        <v xml:space="preserve">US </v>
      </c>
      <c r="J614">
        <v>3</v>
      </c>
      <c r="K614" t="str">
        <f>IF(Table2[[#This Row],[Available]]&lt;=50, "Less Stock", "Required stock" )</f>
        <v>Less Stock</v>
      </c>
      <c r="L614">
        <f t="shared" si="9"/>
        <v>1564.5500000000004</v>
      </c>
      <c r="M614" t="s">
        <v>1073</v>
      </c>
      <c r="N614">
        <v>8</v>
      </c>
      <c r="O614" t="s">
        <v>1921</v>
      </c>
      <c r="P614" t="str">
        <f>RIGHT(RIGHT(Table2[[#This Row],[last Updated]],12),4)</f>
        <v xml:space="preserve"> PDT</v>
      </c>
      <c r="Q614" t="s">
        <v>50</v>
      </c>
    </row>
    <row r="615" spans="1:17" x14ac:dyDescent="0.25">
      <c r="A615" t="s">
        <v>95</v>
      </c>
      <c r="B615" t="str">
        <f>UPPER(Table2[[#This Row],[Brand]])</f>
        <v>CAROLINA HERRERA</v>
      </c>
      <c r="C615" t="str">
        <f>LOWER(Table2[[#This Row],[Brand]])</f>
        <v>carolina herrera</v>
      </c>
      <c r="D615" t="str">
        <f>PROPER(Table2[[#This Row],[Brand]])</f>
        <v>Carolina Herrera</v>
      </c>
      <c r="E615" t="s">
        <v>15</v>
      </c>
      <c r="F615">
        <v>32.130000000000003</v>
      </c>
      <c r="G615" t="s">
        <v>1922</v>
      </c>
      <c r="H61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$32.13</v>
      </c>
      <c r="I615" t="str">
        <f>LEFT(Table2[[#This Row],[priceWithCurrency]],3)</f>
        <v xml:space="preserve">US </v>
      </c>
      <c r="J615">
        <v>47</v>
      </c>
      <c r="K615" t="str">
        <f>IF(Table2[[#This Row],[Available]]&lt;=50, "Less Stock", "Required stock" )</f>
        <v>Less Stock</v>
      </c>
      <c r="L615">
        <f t="shared" si="9"/>
        <v>242.43</v>
      </c>
      <c r="M615" t="s">
        <v>1923</v>
      </c>
      <c r="N615">
        <v>85</v>
      </c>
      <c r="O615" t="s">
        <v>1924</v>
      </c>
      <c r="P615" t="str">
        <f>RIGHT(RIGHT(Table2[[#This Row],[last Updated]],12),4)</f>
        <v xml:space="preserve"> PDT</v>
      </c>
      <c r="Q615" t="s">
        <v>121</v>
      </c>
    </row>
    <row r="616" spans="1:17" x14ac:dyDescent="0.25">
      <c r="A616" t="s">
        <v>1925</v>
      </c>
      <c r="B616" t="str">
        <f>UPPER(Table2[[#This Row],[Brand]])</f>
        <v>CLIVE CHRISTIAN</v>
      </c>
      <c r="C616" t="str">
        <f>LOWER(Table2[[#This Row],[Brand]])</f>
        <v>clive christian</v>
      </c>
      <c r="D616" t="str">
        <f>PROPER(Table2[[#This Row],[Brand]])</f>
        <v>Clive Christian</v>
      </c>
      <c r="E616" t="s">
        <v>4</v>
      </c>
      <c r="F616">
        <v>13</v>
      </c>
      <c r="G616" t="s">
        <v>1926</v>
      </c>
      <c r="H61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$13.00</v>
      </c>
      <c r="I616" t="str">
        <f>LEFT(Table2[[#This Row],[priceWithCurrency]],3)</f>
        <v xml:space="preserve">US </v>
      </c>
      <c r="J616">
        <v>3</v>
      </c>
      <c r="K616" t="str">
        <f>IF(Table2[[#This Row],[Available]]&lt;=50, "Less Stock", "Required stock" )</f>
        <v>Less Stock</v>
      </c>
      <c r="L616">
        <f t="shared" si="9"/>
        <v>1257.3800000000003</v>
      </c>
      <c r="M616" t="s">
        <v>958</v>
      </c>
      <c r="N616">
        <v>14</v>
      </c>
      <c r="O616" t="s">
        <v>1927</v>
      </c>
      <c r="P616" t="str">
        <f>RIGHT(RIGHT(Table2[[#This Row],[last Updated]],12),4)</f>
        <v xml:space="preserve"> PDT</v>
      </c>
      <c r="Q616" t="s">
        <v>1928</v>
      </c>
    </row>
    <row r="617" spans="1:17" x14ac:dyDescent="0.25">
      <c r="A617" t="s">
        <v>1036</v>
      </c>
      <c r="B617" t="str">
        <f>UPPER(Table2[[#This Row],[Brand]])</f>
        <v>TOM FORD</v>
      </c>
      <c r="C617" t="str">
        <f>LOWER(Table2[[#This Row],[Brand]])</f>
        <v>tom ford</v>
      </c>
      <c r="D617" t="str">
        <f>PROPER(Table2[[#This Row],[Brand]])</f>
        <v>Tom Ford</v>
      </c>
      <c r="E617" t="s">
        <v>127</v>
      </c>
      <c r="F617">
        <v>13.05</v>
      </c>
      <c r="G617" t="s">
        <v>1929</v>
      </c>
      <c r="H61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$13.05</v>
      </c>
      <c r="I617" t="str">
        <f>LEFT(Table2[[#This Row],[priceWithCurrency]],3)</f>
        <v xml:space="preserve">US </v>
      </c>
      <c r="J617">
        <v>3</v>
      </c>
      <c r="K617" t="str">
        <f>IF(Table2[[#This Row],[Available]]&lt;=50, "Less Stock", "Required stock" )</f>
        <v>Less Stock</v>
      </c>
      <c r="L617">
        <f t="shared" si="9"/>
        <v>1516.5600000000004</v>
      </c>
      <c r="M617" t="s">
        <v>635</v>
      </c>
      <c r="N617">
        <v>9</v>
      </c>
      <c r="O617" t="s">
        <v>1930</v>
      </c>
      <c r="P617" t="str">
        <f>RIGHT(RIGHT(Table2[[#This Row],[last Updated]],12),4)</f>
        <v xml:space="preserve"> PDT</v>
      </c>
      <c r="Q617" t="s">
        <v>1931</v>
      </c>
    </row>
    <row r="618" spans="1:17" x14ac:dyDescent="0.25">
      <c r="A618" t="s">
        <v>1214</v>
      </c>
      <c r="B618" t="str">
        <f>UPPER(Table2[[#This Row],[Brand]])</f>
        <v>VIKTOR &amp; ROLF</v>
      </c>
      <c r="C618" t="str">
        <f>LOWER(Table2[[#This Row],[Brand]])</f>
        <v>viktor &amp; rolf</v>
      </c>
      <c r="D618" t="str">
        <f>PROPER(Table2[[#This Row],[Brand]])</f>
        <v>Viktor &amp; Rolf</v>
      </c>
      <c r="E618" t="s">
        <v>276</v>
      </c>
      <c r="F618">
        <v>74.92</v>
      </c>
      <c r="G618" t="s">
        <v>1932</v>
      </c>
      <c r="H61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$74.92</v>
      </c>
      <c r="I618" t="str">
        <f>LEFT(Table2[[#This Row],[priceWithCurrency]],3)</f>
        <v xml:space="preserve">US </v>
      </c>
      <c r="J618">
        <v>6</v>
      </c>
      <c r="K618" t="str">
        <f>IF(Table2[[#This Row],[Available]]&lt;=50, "Less Stock", "Required stock" )</f>
        <v>Less Stock</v>
      </c>
      <c r="L618">
        <f t="shared" si="9"/>
        <v>1516.5600000000004</v>
      </c>
      <c r="M618" t="s">
        <v>1933</v>
      </c>
      <c r="N618">
        <v>116</v>
      </c>
      <c r="O618" t="s">
        <v>1934</v>
      </c>
      <c r="P618" t="str">
        <f>RIGHT(RIGHT(Table2[[#This Row],[last Updated]],12),4)</f>
        <v xml:space="preserve"> PDT</v>
      </c>
      <c r="Q618" t="s">
        <v>226</v>
      </c>
    </row>
    <row r="619" spans="1:17" x14ac:dyDescent="0.25">
      <c r="A619" t="s">
        <v>714</v>
      </c>
      <c r="B619" t="str">
        <f>UPPER(Table2[[#This Row],[Brand]])</f>
        <v>MONT BLANC</v>
      </c>
      <c r="C619" t="str">
        <f>LOWER(Table2[[#This Row],[Brand]])</f>
        <v>mont blanc</v>
      </c>
      <c r="D619" t="str">
        <f>PROPER(Table2[[#This Row],[Brand]])</f>
        <v>Mont Blanc</v>
      </c>
      <c r="E619" t="s">
        <v>715</v>
      </c>
      <c r="F619">
        <v>35.619999999999997</v>
      </c>
      <c r="G619" t="s">
        <v>1935</v>
      </c>
      <c r="H61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$35.62</v>
      </c>
      <c r="I619" t="str">
        <f>LEFT(Table2[[#This Row],[priceWithCurrency]],3)</f>
        <v xml:space="preserve">US </v>
      </c>
      <c r="J619">
        <v>47</v>
      </c>
      <c r="K619" t="str">
        <f>IF(Table2[[#This Row],[Available]]&lt;=50, "Less Stock", "Required stock" )</f>
        <v>Less Stock</v>
      </c>
      <c r="L619">
        <f t="shared" si="9"/>
        <v>1257.3800000000003</v>
      </c>
      <c r="M619" t="s">
        <v>1936</v>
      </c>
      <c r="N619">
        <v>454</v>
      </c>
      <c r="O619" t="s">
        <v>1937</v>
      </c>
      <c r="P619" t="str">
        <f>RIGHT(RIGHT(Table2[[#This Row],[last Updated]],12),4)</f>
        <v xml:space="preserve"> PDT</v>
      </c>
      <c r="Q619" t="s">
        <v>121</v>
      </c>
    </row>
    <row r="620" spans="1:17" x14ac:dyDescent="0.25">
      <c r="A620" t="s">
        <v>20</v>
      </c>
      <c r="B620" t="str">
        <f>UPPER(Table2[[#This Row],[Brand]])</f>
        <v>GIORGIO ARMANI</v>
      </c>
      <c r="C620" t="str">
        <f>LOWER(Table2[[#This Row],[Brand]])</f>
        <v>giorgio armani</v>
      </c>
      <c r="D620" t="str">
        <f>PROPER(Table2[[#This Row],[Brand]])</f>
        <v>Giorgio Armani</v>
      </c>
      <c r="E620" t="s">
        <v>15</v>
      </c>
      <c r="F620">
        <v>41.99</v>
      </c>
      <c r="G620" t="s">
        <v>562</v>
      </c>
      <c r="H62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$41.99</v>
      </c>
      <c r="I620" t="str">
        <f>LEFT(Table2[[#This Row],[priceWithCurrency]],3)</f>
        <v xml:space="preserve">US </v>
      </c>
      <c r="J620">
        <v>9</v>
      </c>
      <c r="K620" t="str">
        <f>IF(Table2[[#This Row],[Available]]&lt;=50, "Less Stock", "Required stock" )</f>
        <v>Less Stock</v>
      </c>
      <c r="L620">
        <f t="shared" si="9"/>
        <v>104.99</v>
      </c>
      <c r="M620" t="s">
        <v>1938</v>
      </c>
      <c r="N620">
        <v>132</v>
      </c>
      <c r="O620" t="s">
        <v>1939</v>
      </c>
      <c r="P620" t="str">
        <f>RIGHT(RIGHT(Table2[[#This Row],[last Updated]],12),4)</f>
        <v xml:space="preserve"> PDT</v>
      </c>
      <c r="Q620" t="s">
        <v>619</v>
      </c>
    </row>
    <row r="621" spans="1:17" x14ac:dyDescent="0.25">
      <c r="A621" t="s">
        <v>373</v>
      </c>
      <c r="B621" t="str">
        <f>UPPER(Table2[[#This Row],[Brand]])</f>
        <v>ABERCROMBIE &amp; FITCH</v>
      </c>
      <c r="C621" t="str">
        <f>LOWER(Table2[[#This Row],[Brand]])</f>
        <v>abercrombie &amp; fitch</v>
      </c>
      <c r="D621" t="str">
        <f>PROPER(Table2[[#This Row],[Brand]])</f>
        <v>Abercrombie &amp; Fitch</v>
      </c>
      <c r="E621" t="s">
        <v>374</v>
      </c>
      <c r="F621">
        <v>49.99</v>
      </c>
      <c r="G621" t="s">
        <v>52</v>
      </c>
      <c r="H62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$49.99</v>
      </c>
      <c r="I621" t="str">
        <f>LEFT(Table2[[#This Row],[priceWithCurrency]],3)</f>
        <v xml:space="preserve">US </v>
      </c>
      <c r="J621">
        <v>8</v>
      </c>
      <c r="K621" t="str">
        <f>IF(Table2[[#This Row],[Available]]&lt;=50, "Less Stock", "Required stock" )</f>
        <v>Less Stock</v>
      </c>
      <c r="L621">
        <f t="shared" si="9"/>
        <v>1479.3700000000001</v>
      </c>
      <c r="M621" t="s">
        <v>1940</v>
      </c>
      <c r="N621">
        <v>376</v>
      </c>
      <c r="O621" t="s">
        <v>1941</v>
      </c>
      <c r="P621" t="str">
        <f>RIGHT(RIGHT(Table2[[#This Row],[last Updated]],12),4)</f>
        <v xml:space="preserve"> PDT</v>
      </c>
      <c r="Q621" t="s">
        <v>65</v>
      </c>
    </row>
    <row r="622" spans="1:17" x14ac:dyDescent="0.25">
      <c r="A622" t="s">
        <v>71</v>
      </c>
      <c r="B622" t="str">
        <f>UPPER(Table2[[#This Row],[Brand]])</f>
        <v>AS SHOW</v>
      </c>
      <c r="C622" t="str">
        <f>LOWER(Table2[[#This Row],[Brand]])</f>
        <v>as show</v>
      </c>
      <c r="D622" t="str">
        <f>PROPER(Table2[[#This Row],[Brand]])</f>
        <v>As Show</v>
      </c>
      <c r="E622" t="s">
        <v>4</v>
      </c>
      <c r="F622">
        <v>109.99</v>
      </c>
      <c r="G622" t="s">
        <v>10</v>
      </c>
      <c r="H62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$109.99</v>
      </c>
      <c r="I622" t="str">
        <f>LEFT(Table2[[#This Row],[priceWithCurrency]],3)</f>
        <v xml:space="preserve">US </v>
      </c>
      <c r="J622">
        <v>10</v>
      </c>
      <c r="K622" t="str">
        <f>IF(Table2[[#This Row],[Available]]&lt;=50, "Less Stock", "Required stock" )</f>
        <v>Less Stock</v>
      </c>
      <c r="L622">
        <f t="shared" si="9"/>
        <v>142.76</v>
      </c>
      <c r="M622" t="s">
        <v>576</v>
      </c>
      <c r="N622">
        <v>5</v>
      </c>
      <c r="O622" t="s">
        <v>1942</v>
      </c>
      <c r="P622" t="str">
        <f>RIGHT(RIGHT(Table2[[#This Row],[last Updated]],12),4)</f>
        <v xml:space="preserve"> PDT</v>
      </c>
      <c r="Q622" t="s">
        <v>1943</v>
      </c>
    </row>
    <row r="623" spans="1:17" x14ac:dyDescent="0.25">
      <c r="A623" t="s">
        <v>170</v>
      </c>
      <c r="B623" t="str">
        <f>UPPER(Table2[[#This Row],[Brand]])</f>
        <v>RASASI</v>
      </c>
      <c r="C623" t="str">
        <f>LOWER(Table2[[#This Row],[Brand]])</f>
        <v>rasasi</v>
      </c>
      <c r="D623" t="str">
        <f>PROPER(Table2[[#This Row],[Brand]])</f>
        <v>Rasasi</v>
      </c>
      <c r="E623" t="s">
        <v>4</v>
      </c>
      <c r="F623">
        <v>41.95</v>
      </c>
      <c r="G623" t="s">
        <v>1944</v>
      </c>
      <c r="H62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$41.95</v>
      </c>
      <c r="I623" t="str">
        <f>LEFT(Table2[[#This Row],[priceWithCurrency]],3)</f>
        <v xml:space="preserve">US </v>
      </c>
      <c r="K623" t="str">
        <f>IF(Table2[[#This Row],[Available]]&lt;=50, "Less Stock", "Required stock" )</f>
        <v>Less Stock</v>
      </c>
      <c r="L623">
        <f t="shared" si="9"/>
        <v>1499.4700000000003</v>
      </c>
      <c r="M623" t="s">
        <v>1617</v>
      </c>
      <c r="N623">
        <v>7</v>
      </c>
      <c r="O623" t="s">
        <v>1945</v>
      </c>
      <c r="P623" t="str">
        <f>RIGHT(RIGHT(Table2[[#This Row],[last Updated]],12),4)</f>
        <v xml:space="preserve"> PDT</v>
      </c>
      <c r="Q623" t="s">
        <v>1645</v>
      </c>
    </row>
    <row r="624" spans="1:17" x14ac:dyDescent="0.25">
      <c r="A624" t="s">
        <v>180</v>
      </c>
      <c r="B624" t="str">
        <f>UPPER(Table2[[#This Row],[Brand]])</f>
        <v>CALVIN KLEIN</v>
      </c>
      <c r="C624" t="str">
        <f>LOWER(Table2[[#This Row],[Brand]])</f>
        <v>calvin klein</v>
      </c>
      <c r="D624" t="str">
        <f>PROPER(Table2[[#This Row],[Brand]])</f>
        <v>Calvin Klein</v>
      </c>
      <c r="E624" t="s">
        <v>4</v>
      </c>
      <c r="F624">
        <v>21.27</v>
      </c>
      <c r="G624" t="s">
        <v>1632</v>
      </c>
      <c r="H62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$21.27</v>
      </c>
      <c r="I624" t="str">
        <f>LEFT(Table2[[#This Row],[priceWithCurrency]],3)</f>
        <v xml:space="preserve">US </v>
      </c>
      <c r="J624">
        <v>10</v>
      </c>
      <c r="K624" t="str">
        <f>IF(Table2[[#This Row],[Available]]&lt;=50, "Less Stock", "Required stock" )</f>
        <v>Less Stock</v>
      </c>
      <c r="L624">
        <f t="shared" si="9"/>
        <v>1244.3800000000003</v>
      </c>
      <c r="M624" t="s">
        <v>1946</v>
      </c>
      <c r="N624">
        <v>112</v>
      </c>
      <c r="O624" t="s">
        <v>1947</v>
      </c>
      <c r="P624" t="str">
        <f>RIGHT(RIGHT(Table2[[#This Row],[last Updated]],12),4)</f>
        <v xml:space="preserve"> PDT</v>
      </c>
      <c r="Q624" t="s">
        <v>1948</v>
      </c>
    </row>
    <row r="625" spans="1:17" x14ac:dyDescent="0.25">
      <c r="A625" t="s">
        <v>90</v>
      </c>
      <c r="B625" t="str">
        <f>UPPER(Table2[[#This Row],[Brand]])</f>
        <v>ARMAF</v>
      </c>
      <c r="C625" t="str">
        <f>LOWER(Table2[[#This Row],[Brand]])</f>
        <v>armaf</v>
      </c>
      <c r="D625" t="str">
        <f>PROPER(Table2[[#This Row],[Brand]])</f>
        <v>Armaf</v>
      </c>
      <c r="E625" t="s">
        <v>4</v>
      </c>
      <c r="F625">
        <v>54.26</v>
      </c>
      <c r="G625" t="s">
        <v>1949</v>
      </c>
      <c r="H62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$54.26</v>
      </c>
      <c r="I625" t="str">
        <f>LEFT(Table2[[#This Row],[priceWithCurrency]],3)</f>
        <v xml:space="preserve">US </v>
      </c>
      <c r="K625" t="str">
        <f>IF(Table2[[#This Row],[Available]]&lt;=50, "Less Stock", "Required stock" )</f>
        <v>Less Stock</v>
      </c>
      <c r="L625">
        <f t="shared" si="9"/>
        <v>1284.3700000000003</v>
      </c>
      <c r="M625" t="s">
        <v>1950</v>
      </c>
      <c r="N625">
        <v>2550</v>
      </c>
      <c r="O625" t="s">
        <v>1951</v>
      </c>
      <c r="P625" t="str">
        <f>RIGHT(RIGHT(Table2[[#This Row],[last Updated]],12),4)</f>
        <v xml:space="preserve"> PDT</v>
      </c>
      <c r="Q625" t="s">
        <v>108</v>
      </c>
    </row>
    <row r="626" spans="1:17" x14ac:dyDescent="0.25">
      <c r="A626" t="s">
        <v>37</v>
      </c>
      <c r="B626" t="str">
        <f>UPPER(Table2[[#This Row],[Brand]])</f>
        <v>MAISON ALHAMBRA</v>
      </c>
      <c r="C626" t="str">
        <f>LOWER(Table2[[#This Row],[Brand]])</f>
        <v>maison alhambra</v>
      </c>
      <c r="D626" t="str">
        <f>PROPER(Table2[[#This Row],[Brand]])</f>
        <v>Maison Alhambra</v>
      </c>
      <c r="E626" t="s">
        <v>4</v>
      </c>
      <c r="F626">
        <v>26.5</v>
      </c>
      <c r="G626" t="s">
        <v>323</v>
      </c>
      <c r="H62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$26.50</v>
      </c>
      <c r="I626" t="str">
        <f>LEFT(Table2[[#This Row],[priceWithCurrency]],3)</f>
        <v xml:space="preserve">US </v>
      </c>
      <c r="K626" t="str">
        <f>IF(Table2[[#This Row],[Available]]&lt;=50, "Less Stock", "Required stock" )</f>
        <v>Less Stock</v>
      </c>
      <c r="L626">
        <f t="shared" si="9"/>
        <v>1480.5000000000002</v>
      </c>
      <c r="M626" t="s">
        <v>478</v>
      </c>
      <c r="N626">
        <v>3</v>
      </c>
      <c r="O626" t="s">
        <v>1952</v>
      </c>
      <c r="P626" t="str">
        <f>RIGHT(RIGHT(Table2[[#This Row],[last Updated]],12),4)</f>
        <v xml:space="preserve"> PDT</v>
      </c>
      <c r="Q626" t="s">
        <v>480</v>
      </c>
    </row>
    <row r="627" spans="1:17" x14ac:dyDescent="0.25">
      <c r="A627" t="s">
        <v>79</v>
      </c>
      <c r="B627" t="str">
        <f>UPPER(Table2[[#This Row],[Brand]])</f>
        <v>PACO RABANNE</v>
      </c>
      <c r="C627" t="str">
        <f>LOWER(Table2[[#This Row],[Brand]])</f>
        <v>paco rabanne</v>
      </c>
      <c r="D627" t="str">
        <f>PROPER(Table2[[#This Row],[Brand]])</f>
        <v>Paco Rabanne</v>
      </c>
      <c r="E627" t="s">
        <v>15</v>
      </c>
      <c r="F627">
        <v>50.99</v>
      </c>
      <c r="G627" t="s">
        <v>1953</v>
      </c>
      <c r="H62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$50.99</v>
      </c>
      <c r="I627" t="str">
        <f>LEFT(Table2[[#This Row],[priceWithCurrency]],3)</f>
        <v xml:space="preserve">US </v>
      </c>
      <c r="J627">
        <v>6</v>
      </c>
      <c r="K627" t="str">
        <f>IF(Table2[[#This Row],[Available]]&lt;=50, "Less Stock", "Required stock" )</f>
        <v>Less Stock</v>
      </c>
      <c r="L627">
        <f t="shared" si="9"/>
        <v>1315.45</v>
      </c>
      <c r="M627" t="s">
        <v>1954</v>
      </c>
      <c r="N627">
        <v>15</v>
      </c>
      <c r="O627" t="s">
        <v>1955</v>
      </c>
      <c r="P627" t="str">
        <f>RIGHT(RIGHT(Table2[[#This Row],[last Updated]],12),4)</f>
        <v xml:space="preserve"> PDT</v>
      </c>
      <c r="Q627" t="s">
        <v>55</v>
      </c>
    </row>
    <row r="628" spans="1:17" x14ac:dyDescent="0.25">
      <c r="A628" t="s">
        <v>104</v>
      </c>
      <c r="B628" t="str">
        <f>UPPER(Table2[[#This Row],[Brand]])</f>
        <v>DOLCE &amp; GABBANA</v>
      </c>
      <c r="C628" t="str">
        <f>LOWER(Table2[[#This Row],[Brand]])</f>
        <v>dolce &amp; gabbana</v>
      </c>
      <c r="D628" t="str">
        <f>PROPER(Table2[[#This Row],[Brand]])</f>
        <v>Dolce &amp; Gabbana</v>
      </c>
      <c r="E628" t="s">
        <v>715</v>
      </c>
      <c r="F628">
        <v>46.15</v>
      </c>
      <c r="G628" t="s">
        <v>1956</v>
      </c>
      <c r="H62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$46.15</v>
      </c>
      <c r="I628" t="str">
        <f>LEFT(Table2[[#This Row],[priceWithCurrency]],3)</f>
        <v xml:space="preserve">US </v>
      </c>
      <c r="J628">
        <v>36</v>
      </c>
      <c r="K628" t="str">
        <f>IF(Table2[[#This Row],[Available]]&lt;=50, "Less Stock", "Required stock" )</f>
        <v>Less Stock</v>
      </c>
      <c r="L628">
        <f t="shared" si="9"/>
        <v>212.07</v>
      </c>
      <c r="M628" t="s">
        <v>1957</v>
      </c>
      <c r="N628">
        <v>494</v>
      </c>
      <c r="O628" t="s">
        <v>1958</v>
      </c>
      <c r="P628" t="str">
        <f>RIGHT(RIGHT(Table2[[#This Row],[last Updated]],12),4)</f>
        <v xml:space="preserve"> PDT</v>
      </c>
      <c r="Q628" t="s">
        <v>121</v>
      </c>
    </row>
    <row r="629" spans="1:17" x14ac:dyDescent="0.25">
      <c r="A629" t="s">
        <v>61</v>
      </c>
      <c r="B629" t="str">
        <f>UPPER(Table2[[#This Row],[Brand]])</f>
        <v>DOLCE&amp;GABBANA</v>
      </c>
      <c r="C629" t="str">
        <f>LOWER(Table2[[#This Row],[Brand]])</f>
        <v>dolce&amp;gabbana</v>
      </c>
      <c r="D629" t="str">
        <f>PROPER(Table2[[#This Row],[Brand]])</f>
        <v>Dolce&amp;Gabbana</v>
      </c>
      <c r="E629" t="s">
        <v>1959</v>
      </c>
      <c r="F629">
        <v>77.989999999999995</v>
      </c>
      <c r="G629" t="s">
        <v>1960</v>
      </c>
      <c r="H62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$77.99</v>
      </c>
      <c r="I629" t="str">
        <f>LEFT(Table2[[#This Row],[priceWithCurrency]],3)</f>
        <v xml:space="preserve">US </v>
      </c>
      <c r="J629">
        <v>33</v>
      </c>
      <c r="K629" t="str">
        <f>IF(Table2[[#This Row],[Available]]&lt;=50, "Less Stock", "Required stock" )</f>
        <v>Less Stock</v>
      </c>
      <c r="L629">
        <f t="shared" si="9"/>
        <v>1377.4</v>
      </c>
      <c r="M629" t="s">
        <v>1961</v>
      </c>
      <c r="N629">
        <v>9</v>
      </c>
      <c r="O629" t="s">
        <v>1962</v>
      </c>
      <c r="P629" t="str">
        <f>RIGHT(RIGHT(Table2[[#This Row],[last Updated]],12),4)</f>
        <v xml:space="preserve"> PDT</v>
      </c>
      <c r="Q629" t="s">
        <v>89</v>
      </c>
    </row>
    <row r="630" spans="1:17" x14ac:dyDescent="0.25">
      <c r="A630" t="s">
        <v>20</v>
      </c>
      <c r="B630" t="str">
        <f>UPPER(Table2[[#This Row],[Brand]])</f>
        <v>GIORGIO ARMANI</v>
      </c>
      <c r="C630" t="str">
        <f>LOWER(Table2[[#This Row],[Brand]])</f>
        <v>giorgio armani</v>
      </c>
      <c r="D630" t="str">
        <f>PROPER(Table2[[#This Row],[Brand]])</f>
        <v>Giorgio Armani</v>
      </c>
      <c r="E630" t="s">
        <v>4</v>
      </c>
      <c r="F630">
        <v>110.08</v>
      </c>
      <c r="G630" t="s">
        <v>1963</v>
      </c>
      <c r="H63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$110.08</v>
      </c>
      <c r="I630" t="str">
        <f>LEFT(Table2[[#This Row],[priceWithCurrency]],3)</f>
        <v xml:space="preserve">US </v>
      </c>
      <c r="K630" t="str">
        <f>IF(Table2[[#This Row],[Available]]&lt;=50, "Less Stock", "Required stock" )</f>
        <v>Less Stock</v>
      </c>
      <c r="L630">
        <f t="shared" si="9"/>
        <v>1245.9600000000003</v>
      </c>
      <c r="M630" t="s">
        <v>1964</v>
      </c>
      <c r="N630">
        <v>684</v>
      </c>
      <c r="O630" t="s">
        <v>1965</v>
      </c>
      <c r="P630" t="str">
        <f>RIGHT(RIGHT(Table2[[#This Row],[last Updated]],12),4)</f>
        <v xml:space="preserve"> PDT</v>
      </c>
      <c r="Q630" t="s">
        <v>108</v>
      </c>
    </row>
    <row r="631" spans="1:17" x14ac:dyDescent="0.25">
      <c r="A631" t="s">
        <v>1780</v>
      </c>
      <c r="B631" t="str">
        <f>UPPER(Table2[[#This Row],[Brand]])</f>
        <v>FRANCK OLIVIER</v>
      </c>
      <c r="C631" t="str">
        <f>LOWER(Table2[[#This Row],[Brand]])</f>
        <v>franck olivier</v>
      </c>
      <c r="D631" t="str">
        <f>PROPER(Table2[[#This Row],[Brand]])</f>
        <v>Franck Olivier</v>
      </c>
      <c r="E631" t="s">
        <v>26</v>
      </c>
      <c r="F631">
        <v>18.79</v>
      </c>
      <c r="G631" t="s">
        <v>1966</v>
      </c>
      <c r="H63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$18.79</v>
      </c>
      <c r="I631" t="str">
        <f>LEFT(Table2[[#This Row],[priceWithCurrency]],3)</f>
        <v xml:space="preserve">US </v>
      </c>
      <c r="J631">
        <v>2</v>
      </c>
      <c r="K631" t="str">
        <f>IF(Table2[[#This Row],[Available]]&lt;=50, "Less Stock", "Required stock" )</f>
        <v>Less Stock</v>
      </c>
      <c r="L631">
        <f t="shared" si="9"/>
        <v>65.37</v>
      </c>
      <c r="M631" t="s">
        <v>1967</v>
      </c>
      <c r="N631">
        <v>9</v>
      </c>
      <c r="O631" t="s">
        <v>1968</v>
      </c>
      <c r="P631" t="str">
        <f>RIGHT(RIGHT(Table2[[#This Row],[last Updated]],12),4)</f>
        <v xml:space="preserve"> PDT</v>
      </c>
      <c r="Q631" t="s">
        <v>30</v>
      </c>
    </row>
    <row r="632" spans="1:17" x14ac:dyDescent="0.25">
      <c r="A632" t="s">
        <v>504</v>
      </c>
      <c r="B632" t="str">
        <f>UPPER(Table2[[#This Row],[Brand]])</f>
        <v>BURBERRY</v>
      </c>
      <c r="C632" t="str">
        <f>LOWER(Table2[[#This Row],[Brand]])</f>
        <v>burberry</v>
      </c>
      <c r="D632" t="str">
        <f>PROPER(Table2[[#This Row],[Brand]])</f>
        <v>Burberry</v>
      </c>
      <c r="E632" t="s">
        <v>15</v>
      </c>
      <c r="F632">
        <v>32.99</v>
      </c>
      <c r="G632" t="s">
        <v>594</v>
      </c>
      <c r="H63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$32.99</v>
      </c>
      <c r="I632" t="str">
        <f>LEFT(Table2[[#This Row],[priceWithCurrency]],3)</f>
        <v xml:space="preserve">US </v>
      </c>
      <c r="J632">
        <v>2</v>
      </c>
      <c r="K632" t="str">
        <f>IF(Table2[[#This Row],[Available]]&lt;=50, "Less Stock", "Required stock" )</f>
        <v>Less Stock</v>
      </c>
      <c r="L632">
        <f t="shared" si="9"/>
        <v>1404.43</v>
      </c>
      <c r="M632" t="s">
        <v>817</v>
      </c>
      <c r="N632">
        <v>3</v>
      </c>
      <c r="O632" t="s">
        <v>1969</v>
      </c>
      <c r="P632" t="str">
        <f>RIGHT(RIGHT(Table2[[#This Row],[last Updated]],12),4)</f>
        <v xml:space="preserve"> PDT</v>
      </c>
      <c r="Q632" t="s">
        <v>480</v>
      </c>
    </row>
    <row r="633" spans="1:17" x14ac:dyDescent="0.25">
      <c r="A633" t="s">
        <v>586</v>
      </c>
      <c r="B633" t="str">
        <f>UPPER(Table2[[#This Row],[Brand]])</f>
        <v>PARFUMS DE MARLY</v>
      </c>
      <c r="C633" t="str">
        <f>LOWER(Table2[[#This Row],[Brand]])</f>
        <v>parfums de marly</v>
      </c>
      <c r="D633" t="str">
        <f>PROPER(Table2[[#This Row],[Brand]])</f>
        <v>Parfums De Marly</v>
      </c>
      <c r="E633" t="s">
        <v>4</v>
      </c>
      <c r="F633">
        <v>110</v>
      </c>
      <c r="G633" t="s">
        <v>1970</v>
      </c>
      <c r="H63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$110.00</v>
      </c>
      <c r="I633" t="str">
        <f>LEFT(Table2[[#This Row],[priceWithCurrency]],3)</f>
        <v xml:space="preserve">US </v>
      </c>
      <c r="K633" t="str">
        <f>IF(Table2[[#This Row],[Available]]&lt;=50, "Less Stock", "Required stock" )</f>
        <v>Less Stock</v>
      </c>
      <c r="L633">
        <f t="shared" si="9"/>
        <v>1404.43</v>
      </c>
      <c r="M633" t="s">
        <v>43</v>
      </c>
      <c r="N633">
        <v>6</v>
      </c>
      <c r="O633" t="s">
        <v>1971</v>
      </c>
      <c r="P633" t="str">
        <f>RIGHT(RIGHT(Table2[[#This Row],[last Updated]],12),4)</f>
        <v xml:space="preserve"> PDT</v>
      </c>
      <c r="Q633" t="s">
        <v>1972</v>
      </c>
    </row>
    <row r="634" spans="1:17" x14ac:dyDescent="0.25">
      <c r="A634" t="s">
        <v>1973</v>
      </c>
      <c r="B634" t="str">
        <f>UPPER(Table2[[#This Row],[Brand]])</f>
        <v>GIORGIO ARM.ANI</v>
      </c>
      <c r="C634" t="str">
        <f>LOWER(Table2[[#This Row],[Brand]])</f>
        <v>giorgio arm.ani</v>
      </c>
      <c r="D634" t="str">
        <f>PROPER(Table2[[#This Row],[Brand]])</f>
        <v>Giorgio Arm.Ani</v>
      </c>
      <c r="E634" t="s">
        <v>493</v>
      </c>
      <c r="F634">
        <v>36.68</v>
      </c>
      <c r="G634" t="s">
        <v>494</v>
      </c>
      <c r="H63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$36.68</v>
      </c>
      <c r="I634" t="str">
        <f>LEFT(Table2[[#This Row],[priceWithCurrency]],3)</f>
        <v xml:space="preserve">US </v>
      </c>
      <c r="J634">
        <v>9</v>
      </c>
      <c r="K634" t="str">
        <f>IF(Table2[[#This Row],[Available]]&lt;=50, "Less Stock", "Required stock" )</f>
        <v>Less Stock</v>
      </c>
      <c r="L634">
        <f t="shared" si="9"/>
        <v>1379.9500000000005</v>
      </c>
      <c r="M634" t="s">
        <v>1974</v>
      </c>
      <c r="N634">
        <v>1</v>
      </c>
      <c r="P634" t="str">
        <f>RIGHT(RIGHT(Table2[[#This Row],[last Updated]],12),4)</f>
        <v/>
      </c>
      <c r="Q634" t="s">
        <v>497</v>
      </c>
    </row>
    <row r="635" spans="1:17" x14ac:dyDescent="0.25">
      <c r="A635" t="s">
        <v>1975</v>
      </c>
      <c r="B635" t="str">
        <f>UPPER(Table2[[#This Row],[Brand]])</f>
        <v>VICTOR &amp; ROLF</v>
      </c>
      <c r="C635" t="str">
        <f>LOWER(Table2[[#This Row],[Brand]])</f>
        <v>victor &amp; rolf</v>
      </c>
      <c r="D635" t="str">
        <f>PROPER(Table2[[#This Row],[Brand]])</f>
        <v>Victor &amp; Rolf</v>
      </c>
      <c r="E635" t="s">
        <v>4</v>
      </c>
      <c r="F635">
        <v>74.59</v>
      </c>
      <c r="G635" t="s">
        <v>1976</v>
      </c>
      <c r="H63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$74.59</v>
      </c>
      <c r="I635" t="str">
        <f>LEFT(Table2[[#This Row],[priceWithCurrency]],3)</f>
        <v xml:space="preserve">US </v>
      </c>
      <c r="J635">
        <v>10</v>
      </c>
      <c r="K635" t="str">
        <f>IF(Table2[[#This Row],[Available]]&lt;=50, "Less Stock", "Required stock" )</f>
        <v>Less Stock</v>
      </c>
      <c r="L635">
        <f t="shared" si="9"/>
        <v>1368.8900000000006</v>
      </c>
      <c r="M635" t="s">
        <v>1977</v>
      </c>
      <c r="N635">
        <v>1</v>
      </c>
      <c r="O635" t="s">
        <v>1978</v>
      </c>
      <c r="P635" t="str">
        <f>RIGHT(RIGHT(Table2[[#This Row],[last Updated]],12),4)</f>
        <v xml:space="preserve"> PDT</v>
      </c>
      <c r="Q635" t="s">
        <v>480</v>
      </c>
    </row>
    <row r="636" spans="1:17" x14ac:dyDescent="0.25">
      <c r="A636" t="s">
        <v>1979</v>
      </c>
      <c r="B636" t="str">
        <f>UPPER(Table2[[#This Row],[Brand]])</f>
        <v>POLO</v>
      </c>
      <c r="C636" t="str">
        <f>LOWER(Table2[[#This Row],[Brand]])</f>
        <v>polo</v>
      </c>
      <c r="D636" t="str">
        <f>PROPER(Table2[[#This Row],[Brand]])</f>
        <v>Polo</v>
      </c>
      <c r="E636" t="s">
        <v>15</v>
      </c>
      <c r="F636">
        <v>41.79</v>
      </c>
      <c r="G636" t="s">
        <v>1980</v>
      </c>
      <c r="H63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$41.79</v>
      </c>
      <c r="I636" t="str">
        <f>LEFT(Table2[[#This Row],[priceWithCurrency]],3)</f>
        <v xml:space="preserve">US </v>
      </c>
      <c r="J636">
        <v>2</v>
      </c>
      <c r="K636" t="str">
        <f>IF(Table2[[#This Row],[Available]]&lt;=50, "Less Stock", "Required stock" )</f>
        <v>Less Stock</v>
      </c>
      <c r="L636">
        <f t="shared" si="9"/>
        <v>270.52999999999997</v>
      </c>
      <c r="M636" t="s">
        <v>1981</v>
      </c>
      <c r="N636">
        <v>174</v>
      </c>
      <c r="O636" t="s">
        <v>1982</v>
      </c>
      <c r="P636" t="str">
        <f>RIGHT(RIGHT(Table2[[#This Row],[last Updated]],12),4)</f>
        <v xml:space="preserve"> PDT</v>
      </c>
      <c r="Q636" t="s">
        <v>1983</v>
      </c>
    </row>
    <row r="637" spans="1:17" x14ac:dyDescent="0.25">
      <c r="A637" t="s">
        <v>1984</v>
      </c>
      <c r="B637" t="str">
        <f>UPPER(Table2[[#This Row],[Brand]])</f>
        <v>ROBERTO CAVALLI</v>
      </c>
      <c r="C637" t="str">
        <f>LOWER(Table2[[#This Row],[Brand]])</f>
        <v>roberto cavalli</v>
      </c>
      <c r="D637" t="str">
        <f>PROPER(Table2[[#This Row],[Brand]])</f>
        <v>Roberto Cavalli</v>
      </c>
      <c r="E637" t="s">
        <v>15</v>
      </c>
      <c r="F637">
        <v>42.95</v>
      </c>
      <c r="G637" t="s">
        <v>1985</v>
      </c>
      <c r="H63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$42.95</v>
      </c>
      <c r="I637" t="str">
        <f>LEFT(Table2[[#This Row],[priceWithCurrency]],3)</f>
        <v xml:space="preserve">US </v>
      </c>
      <c r="J637">
        <v>10</v>
      </c>
      <c r="K637" t="str">
        <f>IF(Table2[[#This Row],[Available]]&lt;=50, "Less Stock", "Required stock" )</f>
        <v>Less Stock</v>
      </c>
      <c r="L637">
        <f t="shared" si="9"/>
        <v>1338.8900000000006</v>
      </c>
      <c r="M637" t="s">
        <v>703</v>
      </c>
      <c r="N637">
        <v>8</v>
      </c>
      <c r="O637" t="s">
        <v>1986</v>
      </c>
      <c r="P637" t="str">
        <f>RIGHT(RIGHT(Table2[[#This Row],[last Updated]],12),4)</f>
        <v xml:space="preserve"> PDT</v>
      </c>
      <c r="Q637" t="s">
        <v>1987</v>
      </c>
    </row>
    <row r="638" spans="1:17" x14ac:dyDescent="0.25">
      <c r="A638" t="s">
        <v>1079</v>
      </c>
      <c r="B638" t="str">
        <f>UPPER(Table2[[#This Row],[Brand]])</f>
        <v>BENTLEY</v>
      </c>
      <c r="C638" t="str">
        <f>LOWER(Table2[[#This Row],[Brand]])</f>
        <v>bentley</v>
      </c>
      <c r="D638" t="str">
        <f>PROPER(Table2[[#This Row],[Brand]])</f>
        <v>Bentley</v>
      </c>
      <c r="E638" t="s">
        <v>4</v>
      </c>
      <c r="F638">
        <v>28.99</v>
      </c>
      <c r="G638" t="s">
        <v>597</v>
      </c>
      <c r="H63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$28.99</v>
      </c>
      <c r="I638" t="str">
        <f>LEFT(Table2[[#This Row],[priceWithCurrency]],3)</f>
        <v xml:space="preserve">US </v>
      </c>
      <c r="J638">
        <v>13</v>
      </c>
      <c r="K638" t="str">
        <f>IF(Table2[[#This Row],[Available]]&lt;=50, "Less Stock", "Required stock" )</f>
        <v>Less Stock</v>
      </c>
      <c r="L638">
        <f t="shared" si="9"/>
        <v>1319.9800000000005</v>
      </c>
      <c r="M638" t="s">
        <v>1988</v>
      </c>
      <c r="N638">
        <v>65</v>
      </c>
      <c r="O638" t="s">
        <v>1989</v>
      </c>
      <c r="P638" t="str">
        <f>RIGHT(RIGHT(Table2[[#This Row],[last Updated]],12),4)</f>
        <v xml:space="preserve"> PDT</v>
      </c>
      <c r="Q638" t="s">
        <v>438</v>
      </c>
    </row>
    <row r="639" spans="1:17" x14ac:dyDescent="0.25">
      <c r="A639" t="s">
        <v>126</v>
      </c>
      <c r="B639" t="str">
        <f>UPPER(Table2[[#This Row],[Brand]])</f>
        <v>AZZARO</v>
      </c>
      <c r="C639" t="str">
        <f>LOWER(Table2[[#This Row],[Brand]])</f>
        <v>azzaro</v>
      </c>
      <c r="D639" t="str">
        <f>PROPER(Table2[[#This Row],[Brand]])</f>
        <v>Azzaro</v>
      </c>
      <c r="E639" t="s">
        <v>4</v>
      </c>
      <c r="F639">
        <v>93.91</v>
      </c>
      <c r="G639" t="s">
        <v>1990</v>
      </c>
      <c r="H63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$93.91</v>
      </c>
      <c r="I639" t="str">
        <f>LEFT(Table2[[#This Row],[priceWithCurrency]],3)</f>
        <v xml:space="preserve">US </v>
      </c>
      <c r="K639" t="str">
        <f>IF(Table2[[#This Row],[Available]]&lt;=50, "Less Stock", "Required stock" )</f>
        <v>Less Stock</v>
      </c>
      <c r="L639">
        <f t="shared" si="9"/>
        <v>1342.3100000000002</v>
      </c>
      <c r="M639" t="s">
        <v>1695</v>
      </c>
      <c r="N639">
        <v>111</v>
      </c>
      <c r="O639" t="s">
        <v>1991</v>
      </c>
      <c r="P639" t="str">
        <f>RIGHT(RIGHT(Table2[[#This Row],[last Updated]],12),4)</f>
        <v xml:space="preserve"> PDT</v>
      </c>
      <c r="Q639" t="s">
        <v>108</v>
      </c>
    </row>
    <row r="640" spans="1:17" x14ac:dyDescent="0.25">
      <c r="A640" t="s">
        <v>593</v>
      </c>
      <c r="B640" t="str">
        <f>UPPER(Table2[[#This Row],[Brand]])</f>
        <v>SALVATORE FERRAGAMO</v>
      </c>
      <c r="C640" t="str">
        <f>LOWER(Table2[[#This Row],[Brand]])</f>
        <v>salvatore ferragamo</v>
      </c>
      <c r="D640" t="str">
        <f>PROPER(Table2[[#This Row],[Brand]])</f>
        <v>Salvatore Ferragamo</v>
      </c>
      <c r="E640" t="s">
        <v>15</v>
      </c>
      <c r="F640">
        <v>21</v>
      </c>
      <c r="G640" t="s">
        <v>1992</v>
      </c>
      <c r="H64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$21.00</v>
      </c>
      <c r="I640" t="str">
        <f>LEFT(Table2[[#This Row],[priceWithCurrency]],3)</f>
        <v xml:space="preserve">US </v>
      </c>
      <c r="J640">
        <v>4</v>
      </c>
      <c r="K640" t="str">
        <f>IF(Table2[[#This Row],[Available]]&lt;=50, "Less Stock", "Required stock" )</f>
        <v>Less Stock</v>
      </c>
      <c r="L640">
        <f t="shared" si="9"/>
        <v>1454.9800000000005</v>
      </c>
      <c r="M640" t="s">
        <v>1993</v>
      </c>
      <c r="N640">
        <v>785</v>
      </c>
      <c r="O640" t="s">
        <v>1819</v>
      </c>
      <c r="P640" t="str">
        <f>RIGHT(RIGHT(Table2[[#This Row],[last Updated]],12),4)</f>
        <v xml:space="preserve"> PDT</v>
      </c>
      <c r="Q640" t="s">
        <v>121</v>
      </c>
    </row>
    <row r="641" spans="1:17" x14ac:dyDescent="0.25">
      <c r="A641" t="s">
        <v>1994</v>
      </c>
      <c r="B641" t="str">
        <f>UPPER(Table2[[#This Row],[Brand]])</f>
        <v>EMANUELLE UNGARO</v>
      </c>
      <c r="C641" t="str">
        <f>LOWER(Table2[[#This Row],[Brand]])</f>
        <v>emanuelle ungaro</v>
      </c>
      <c r="D641" t="str">
        <f>PROPER(Table2[[#This Row],[Brand]])</f>
        <v>Emanuelle Ungaro</v>
      </c>
      <c r="E641" t="s">
        <v>715</v>
      </c>
      <c r="F641">
        <v>31.89</v>
      </c>
      <c r="G641" t="s">
        <v>1995</v>
      </c>
      <c r="H64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$31.89</v>
      </c>
      <c r="I641" t="str">
        <f>LEFT(Table2[[#This Row],[priceWithCurrency]],3)</f>
        <v xml:space="preserve">US </v>
      </c>
      <c r="J641">
        <v>15</v>
      </c>
      <c r="K641" t="str">
        <f>IF(Table2[[#This Row],[Available]]&lt;=50, "Less Stock", "Required stock" )</f>
        <v>Less Stock</v>
      </c>
      <c r="L641">
        <f t="shared" si="9"/>
        <v>25.46</v>
      </c>
      <c r="M641" t="s">
        <v>1996</v>
      </c>
      <c r="N641">
        <v>226</v>
      </c>
      <c r="O641" t="s">
        <v>1997</v>
      </c>
      <c r="P641" t="str">
        <f>RIGHT(RIGHT(Table2[[#This Row],[last Updated]],12),4)</f>
        <v xml:space="preserve"> PDT</v>
      </c>
      <c r="Q641" t="s">
        <v>121</v>
      </c>
    </row>
    <row r="642" spans="1:17" x14ac:dyDescent="0.25">
      <c r="A642" t="s">
        <v>1726</v>
      </c>
      <c r="B642" t="str">
        <f>UPPER(Table2[[#This Row],[Brand]])</f>
        <v>MERCEDES-BENZ</v>
      </c>
      <c r="C642" t="str">
        <f>LOWER(Table2[[#This Row],[Brand]])</f>
        <v>mercedes-benz</v>
      </c>
      <c r="D642" t="str">
        <f>PROPER(Table2[[#This Row],[Brand]])</f>
        <v>Mercedes-Benz</v>
      </c>
      <c r="E642" t="s">
        <v>15</v>
      </c>
      <c r="F642">
        <v>37.99</v>
      </c>
      <c r="G642" t="s">
        <v>86</v>
      </c>
      <c r="H64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$37.99</v>
      </c>
      <c r="I642" t="str">
        <f>LEFT(Table2[[#This Row],[priceWithCurrency]],3)</f>
        <v xml:space="preserve">US </v>
      </c>
      <c r="J642">
        <v>4</v>
      </c>
      <c r="K642" t="str">
        <f>IF(Table2[[#This Row],[Available]]&lt;=50, "Less Stock", "Required stock" )</f>
        <v>Less Stock</v>
      </c>
      <c r="L642">
        <f t="shared" ref="L642:L705" si="10">SUMIF(E642:E722,E686,F686:F1641)</f>
        <v>1150.3100000000002</v>
      </c>
      <c r="M642" t="s">
        <v>1998</v>
      </c>
      <c r="N642">
        <v>2</v>
      </c>
      <c r="O642" t="s">
        <v>1999</v>
      </c>
      <c r="P642" t="str">
        <f>RIGHT(RIGHT(Table2[[#This Row],[last Updated]],12),4)</f>
        <v xml:space="preserve"> PDT</v>
      </c>
      <c r="Q642" t="s">
        <v>973</v>
      </c>
    </row>
    <row r="643" spans="1:17" x14ac:dyDescent="0.25">
      <c r="A643" t="s">
        <v>76</v>
      </c>
      <c r="B643" t="str">
        <f>UPPER(Table2[[#This Row],[Brand]])</f>
        <v>VERSACE</v>
      </c>
      <c r="C643" t="str">
        <f>LOWER(Table2[[#This Row],[Brand]])</f>
        <v>versace</v>
      </c>
      <c r="D643" t="str">
        <f>PROPER(Table2[[#This Row],[Brand]])</f>
        <v>Versace</v>
      </c>
      <c r="E643" t="s">
        <v>4</v>
      </c>
      <c r="F643">
        <v>58.09</v>
      </c>
      <c r="G643" t="s">
        <v>2000</v>
      </c>
      <c r="H64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$58.09</v>
      </c>
      <c r="I643" t="str">
        <f>LEFT(Table2[[#This Row],[priceWithCurrency]],3)</f>
        <v xml:space="preserve">US </v>
      </c>
      <c r="K643" t="str">
        <f>IF(Table2[[#This Row],[Available]]&lt;=50, "Less Stock", "Required stock" )</f>
        <v>Less Stock</v>
      </c>
      <c r="L643">
        <f t="shared" si="10"/>
        <v>1436.3500000000004</v>
      </c>
      <c r="M643" t="s">
        <v>2001</v>
      </c>
      <c r="N643">
        <v>550</v>
      </c>
      <c r="O643" t="s">
        <v>2002</v>
      </c>
      <c r="P643" t="str">
        <f>RIGHT(RIGHT(Table2[[#This Row],[last Updated]],12),4)</f>
        <v xml:space="preserve"> PDT</v>
      </c>
      <c r="Q643" t="s">
        <v>121</v>
      </c>
    </row>
    <row r="644" spans="1:17" x14ac:dyDescent="0.25">
      <c r="A644" t="s">
        <v>554</v>
      </c>
      <c r="B644" t="str">
        <f>UPPER(Table2[[#This Row],[Brand]])</f>
        <v>DAVIDOFF</v>
      </c>
      <c r="C644" t="str">
        <f>LOWER(Table2[[#This Row],[Brand]])</f>
        <v>davidoff</v>
      </c>
      <c r="D644" t="str">
        <f>PROPER(Table2[[#This Row],[Brand]])</f>
        <v>Davidoff</v>
      </c>
      <c r="E644" t="s">
        <v>15</v>
      </c>
      <c r="F644">
        <v>25.23</v>
      </c>
      <c r="G644" t="s">
        <v>2003</v>
      </c>
      <c r="H64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$25.23</v>
      </c>
      <c r="I644" t="str">
        <f>LEFT(Table2[[#This Row],[priceWithCurrency]],3)</f>
        <v xml:space="preserve">US </v>
      </c>
      <c r="K644" t="str">
        <f>IF(Table2[[#This Row],[Available]]&lt;=50, "Less Stock", "Required stock" )</f>
        <v>Less Stock</v>
      </c>
      <c r="L644">
        <f t="shared" si="10"/>
        <v>1471.3400000000004</v>
      </c>
      <c r="M644" t="s">
        <v>2004</v>
      </c>
      <c r="N644">
        <v>40130</v>
      </c>
      <c r="O644" t="s">
        <v>2005</v>
      </c>
      <c r="P644" t="str">
        <f>RIGHT(RIGHT(Table2[[#This Row],[last Updated]],12),4)</f>
        <v xml:space="preserve"> PDT</v>
      </c>
      <c r="Q644" t="s">
        <v>108</v>
      </c>
    </row>
    <row r="645" spans="1:17" x14ac:dyDescent="0.25">
      <c r="A645" t="s">
        <v>56</v>
      </c>
      <c r="B645" t="str">
        <f>UPPER(Table2[[#This Row],[Brand]])</f>
        <v>RALPH LAUREN</v>
      </c>
      <c r="C645" t="str">
        <f>LOWER(Table2[[#This Row],[Brand]])</f>
        <v>ralph lauren</v>
      </c>
      <c r="D645" t="str">
        <f>PROPER(Table2[[#This Row],[Brand]])</f>
        <v>Ralph Lauren</v>
      </c>
      <c r="E645" t="s">
        <v>4</v>
      </c>
      <c r="F645">
        <v>43</v>
      </c>
      <c r="G645" t="s">
        <v>2006</v>
      </c>
      <c r="H64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$43.00</v>
      </c>
      <c r="I645" t="str">
        <f>LEFT(Table2[[#This Row],[priceWithCurrency]],3)</f>
        <v xml:space="preserve">US </v>
      </c>
      <c r="J645">
        <v>5</v>
      </c>
      <c r="K645" t="str">
        <f>IF(Table2[[#This Row],[Available]]&lt;=50, "Less Stock", "Required stock" )</f>
        <v>Less Stock</v>
      </c>
      <c r="L645">
        <f t="shared" si="10"/>
        <v>1434.8200000000004</v>
      </c>
      <c r="M645" t="s">
        <v>2007</v>
      </c>
      <c r="N645">
        <v>32</v>
      </c>
      <c r="O645" t="s">
        <v>2008</v>
      </c>
      <c r="P645" t="str">
        <f>RIGHT(RIGHT(Table2[[#This Row],[last Updated]],12),4)</f>
        <v xml:space="preserve"> PDT</v>
      </c>
      <c r="Q645" t="s">
        <v>94</v>
      </c>
    </row>
    <row r="646" spans="1:17" x14ac:dyDescent="0.25">
      <c r="A646" t="s">
        <v>2009</v>
      </c>
      <c r="B646" t="str">
        <f>UPPER(Table2[[#This Row],[Brand]])</f>
        <v>CURVE</v>
      </c>
      <c r="C646" t="str">
        <f>LOWER(Table2[[#This Row],[Brand]])</f>
        <v>curve</v>
      </c>
      <c r="D646" t="str">
        <f>PROPER(Table2[[#This Row],[Brand]])</f>
        <v>Curve</v>
      </c>
      <c r="E646" t="s">
        <v>374</v>
      </c>
      <c r="F646">
        <v>16.82</v>
      </c>
      <c r="G646" t="s">
        <v>2010</v>
      </c>
      <c r="H64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$16.82</v>
      </c>
      <c r="I646" t="str">
        <f>LEFT(Table2[[#This Row],[priceWithCurrency]],3)</f>
        <v xml:space="preserve">US </v>
      </c>
      <c r="J646">
        <v>4</v>
      </c>
      <c r="K646" t="str">
        <f>IF(Table2[[#This Row],[Available]]&lt;=50, "Less Stock", "Required stock" )</f>
        <v>Less Stock</v>
      </c>
      <c r="L646">
        <f t="shared" si="10"/>
        <v>142.76</v>
      </c>
      <c r="M646" t="s">
        <v>2011</v>
      </c>
      <c r="N646">
        <v>1992</v>
      </c>
      <c r="O646" t="s">
        <v>2012</v>
      </c>
      <c r="P646" t="str">
        <f>RIGHT(RIGHT(Table2[[#This Row],[last Updated]],12),4)</f>
        <v xml:space="preserve"> PDT</v>
      </c>
      <c r="Q646" t="s">
        <v>108</v>
      </c>
    </row>
    <row r="647" spans="1:17" x14ac:dyDescent="0.25">
      <c r="A647" t="s">
        <v>143</v>
      </c>
      <c r="B647" t="str">
        <f>UPPER(Table2[[#This Row],[Brand]])</f>
        <v>PENHALIGON'S</v>
      </c>
      <c r="C647" t="str">
        <f>LOWER(Table2[[#This Row],[Brand]])</f>
        <v>penhaligon's</v>
      </c>
      <c r="D647" t="str">
        <f>PROPER(Table2[[#This Row],[Brand]])</f>
        <v>Penhaligon'S</v>
      </c>
      <c r="E647" t="s">
        <v>4</v>
      </c>
      <c r="F647">
        <v>188.99</v>
      </c>
      <c r="G647" t="s">
        <v>2013</v>
      </c>
      <c r="H64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$188.99</v>
      </c>
      <c r="I647" t="str">
        <f>LEFT(Table2[[#This Row],[priceWithCurrency]],3)</f>
        <v xml:space="preserve">US </v>
      </c>
      <c r="J647">
        <v>4</v>
      </c>
      <c r="K647" t="str">
        <f>IF(Table2[[#This Row],[Available]]&lt;=50, "Less Stock", "Required stock" )</f>
        <v>Less Stock</v>
      </c>
      <c r="L647">
        <f t="shared" si="10"/>
        <v>1434.8200000000004</v>
      </c>
      <c r="M647" t="s">
        <v>855</v>
      </c>
      <c r="N647">
        <v>1</v>
      </c>
      <c r="O647" t="s">
        <v>2014</v>
      </c>
      <c r="P647" t="str">
        <f>RIGHT(RIGHT(Table2[[#This Row],[last Updated]],12),4)</f>
        <v xml:space="preserve"> PDT</v>
      </c>
      <c r="Q647" t="s">
        <v>2015</v>
      </c>
    </row>
    <row r="648" spans="1:17" x14ac:dyDescent="0.25">
      <c r="A648" t="s">
        <v>1329</v>
      </c>
      <c r="B648" t="str">
        <f>UPPER(Table2[[#This Row],[Brand]])</f>
        <v>EMPORIO ARMANI</v>
      </c>
      <c r="C648" t="str">
        <f>LOWER(Table2[[#This Row],[Brand]])</f>
        <v>emporio armani</v>
      </c>
      <c r="D648" t="str">
        <f>PROPER(Table2[[#This Row],[Brand]])</f>
        <v>Emporio Armani</v>
      </c>
      <c r="E648" t="s">
        <v>4</v>
      </c>
      <c r="F648">
        <v>69.989999999999995</v>
      </c>
      <c r="G648" t="s">
        <v>239</v>
      </c>
      <c r="H64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$69.99</v>
      </c>
      <c r="I648" t="str">
        <f>LEFT(Table2[[#This Row],[priceWithCurrency]],3)</f>
        <v xml:space="preserve">US </v>
      </c>
      <c r="J648">
        <v>2</v>
      </c>
      <c r="K648" t="str">
        <f>IF(Table2[[#This Row],[Available]]&lt;=50, "Less Stock", "Required stock" )</f>
        <v>Less Stock</v>
      </c>
      <c r="L648">
        <f t="shared" si="10"/>
        <v>1250.72</v>
      </c>
      <c r="M648" t="s">
        <v>760</v>
      </c>
      <c r="N648">
        <v>6</v>
      </c>
      <c r="O648" t="s">
        <v>1049</v>
      </c>
      <c r="P648" t="str">
        <f>RIGHT(RIGHT(Table2[[#This Row],[last Updated]],12),4)</f>
        <v xml:space="preserve"> PDT</v>
      </c>
      <c r="Q648" t="s">
        <v>2016</v>
      </c>
    </row>
    <row r="649" spans="1:17" x14ac:dyDescent="0.25">
      <c r="A649" t="s">
        <v>593</v>
      </c>
      <c r="B649" t="str">
        <f>UPPER(Table2[[#This Row],[Brand]])</f>
        <v>SALVATORE FERRAGAMO</v>
      </c>
      <c r="C649" t="str">
        <f>LOWER(Table2[[#This Row],[Brand]])</f>
        <v>salvatore ferragamo</v>
      </c>
      <c r="D649" t="str">
        <f>PROPER(Table2[[#This Row],[Brand]])</f>
        <v>Salvatore Ferragamo</v>
      </c>
      <c r="E649" t="s">
        <v>15</v>
      </c>
      <c r="F649">
        <v>28.19</v>
      </c>
      <c r="G649" t="s">
        <v>1738</v>
      </c>
      <c r="H64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$28.19</v>
      </c>
      <c r="I649" t="str">
        <f>LEFT(Table2[[#This Row],[priceWithCurrency]],3)</f>
        <v xml:space="preserve">US </v>
      </c>
      <c r="J649">
        <v>3</v>
      </c>
      <c r="K649" t="str">
        <f>IF(Table2[[#This Row],[Available]]&lt;=50, "Less Stock", "Required stock" )</f>
        <v>Less Stock</v>
      </c>
      <c r="L649">
        <f t="shared" si="10"/>
        <v>1456.9700000000005</v>
      </c>
      <c r="M649" t="s">
        <v>2017</v>
      </c>
      <c r="N649">
        <v>23</v>
      </c>
      <c r="O649" t="s">
        <v>2018</v>
      </c>
      <c r="P649" t="str">
        <f>RIGHT(RIGHT(Table2[[#This Row],[last Updated]],12),4)</f>
        <v xml:space="preserve"> PDT</v>
      </c>
      <c r="Q649" t="s">
        <v>30</v>
      </c>
    </row>
    <row r="650" spans="1:17" x14ac:dyDescent="0.25">
      <c r="A650" t="s">
        <v>249</v>
      </c>
      <c r="B650" t="str">
        <f>UPPER(Table2[[#This Row],[Brand]])</f>
        <v>KENNETH COLE</v>
      </c>
      <c r="C650" t="str">
        <f>LOWER(Table2[[#This Row],[Brand]])</f>
        <v>kenneth cole</v>
      </c>
      <c r="D650" t="str">
        <f>PROPER(Table2[[#This Row],[Brand]])</f>
        <v>Kenneth Cole</v>
      </c>
      <c r="E650" t="s">
        <v>928</v>
      </c>
      <c r="F650">
        <v>10.99</v>
      </c>
      <c r="G650" t="s">
        <v>1410</v>
      </c>
      <c r="H65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$10.99</v>
      </c>
      <c r="I650" t="str">
        <f>LEFT(Table2[[#This Row],[priceWithCurrency]],3)</f>
        <v xml:space="preserve">US </v>
      </c>
      <c r="J650">
        <v>10</v>
      </c>
      <c r="K650" t="str">
        <f>IF(Table2[[#This Row],[Available]]&lt;=50, "Less Stock", "Required stock" )</f>
        <v>Less Stock</v>
      </c>
      <c r="L650">
        <f t="shared" si="10"/>
        <v>1436.9800000000005</v>
      </c>
      <c r="M650" t="s">
        <v>2019</v>
      </c>
      <c r="N650">
        <v>368</v>
      </c>
      <c r="O650" t="s">
        <v>2020</v>
      </c>
      <c r="P650" t="str">
        <f>RIGHT(RIGHT(Table2[[#This Row],[last Updated]],12),4)</f>
        <v xml:space="preserve"> PDT</v>
      </c>
      <c r="Q650" t="s">
        <v>30</v>
      </c>
    </row>
    <row r="651" spans="1:17" x14ac:dyDescent="0.25">
      <c r="A651" t="s">
        <v>485</v>
      </c>
      <c r="B651" t="str">
        <f>UPPER(Table2[[#This Row],[Brand]])</f>
        <v>DIESEL</v>
      </c>
      <c r="C651" t="str">
        <f>LOWER(Table2[[#This Row],[Brand]])</f>
        <v>diesel</v>
      </c>
      <c r="D651" t="str">
        <f>PROPER(Table2[[#This Row],[Brand]])</f>
        <v>Diesel</v>
      </c>
      <c r="E651" t="s">
        <v>15</v>
      </c>
      <c r="F651">
        <v>16.989999999999998</v>
      </c>
      <c r="G651" t="s">
        <v>2021</v>
      </c>
      <c r="H65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$16.99</v>
      </c>
      <c r="I651" t="str">
        <f>LEFT(Table2[[#This Row],[priceWithCurrency]],3)</f>
        <v xml:space="preserve">US </v>
      </c>
      <c r="J651">
        <v>10</v>
      </c>
      <c r="K651" t="str">
        <f>IF(Table2[[#This Row],[Available]]&lt;=50, "Less Stock", "Required stock" )</f>
        <v>Less Stock</v>
      </c>
      <c r="L651">
        <f t="shared" si="10"/>
        <v>78.989999999999995</v>
      </c>
      <c r="M651" t="s">
        <v>451</v>
      </c>
      <c r="N651">
        <v>28</v>
      </c>
      <c r="O651" t="s">
        <v>2022</v>
      </c>
      <c r="P651" t="str">
        <f>RIGHT(RIGHT(Table2[[#This Row],[last Updated]],12),4)</f>
        <v xml:space="preserve"> PDT</v>
      </c>
      <c r="Q651" t="s">
        <v>709</v>
      </c>
    </row>
    <row r="652" spans="1:17" x14ac:dyDescent="0.25">
      <c r="A652" t="s">
        <v>79</v>
      </c>
      <c r="B652" t="str">
        <f>UPPER(Table2[[#This Row],[Brand]])</f>
        <v>PACO RABANNE</v>
      </c>
      <c r="C652" t="str">
        <f>LOWER(Table2[[#This Row],[Brand]])</f>
        <v>paco rabanne</v>
      </c>
      <c r="D652" t="str">
        <f>PROPER(Table2[[#This Row],[Brand]])</f>
        <v>Paco Rabanne</v>
      </c>
      <c r="E652" t="s">
        <v>15</v>
      </c>
      <c r="F652">
        <v>70.08</v>
      </c>
      <c r="G652" t="s">
        <v>2023</v>
      </c>
      <c r="H65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$70.08</v>
      </c>
      <c r="I652" t="str">
        <f>LEFT(Table2[[#This Row],[priceWithCurrency]],3)</f>
        <v xml:space="preserve">US </v>
      </c>
      <c r="K652" t="str">
        <f>IF(Table2[[#This Row],[Available]]&lt;=50, "Less Stock", "Required stock" )</f>
        <v>Less Stock</v>
      </c>
      <c r="L652">
        <f t="shared" si="10"/>
        <v>1349.9900000000002</v>
      </c>
      <c r="M652" t="s">
        <v>2024</v>
      </c>
      <c r="N652">
        <v>1165</v>
      </c>
      <c r="O652" t="s">
        <v>2025</v>
      </c>
      <c r="P652" t="str">
        <f>RIGHT(RIGHT(Table2[[#This Row],[last Updated]],12),4)</f>
        <v xml:space="preserve"> PDT</v>
      </c>
      <c r="Q652" t="s">
        <v>108</v>
      </c>
    </row>
    <row r="653" spans="1:17" x14ac:dyDescent="0.25">
      <c r="A653" t="s">
        <v>71</v>
      </c>
      <c r="B653" t="str">
        <f>UPPER(Table2[[#This Row],[Brand]])</f>
        <v>AS SHOW</v>
      </c>
      <c r="C653" t="str">
        <f>LOWER(Table2[[#This Row],[Brand]])</f>
        <v>as show</v>
      </c>
      <c r="D653" t="str">
        <f>PROPER(Table2[[#This Row],[Brand]])</f>
        <v>As Show</v>
      </c>
      <c r="E653" t="s">
        <v>4</v>
      </c>
      <c r="F653">
        <v>69.989999999999995</v>
      </c>
      <c r="G653" t="s">
        <v>239</v>
      </c>
      <c r="H65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$69.99</v>
      </c>
      <c r="I653" t="str">
        <f>LEFT(Table2[[#This Row],[priceWithCurrency]],3)</f>
        <v xml:space="preserve">US </v>
      </c>
      <c r="J653">
        <v>10</v>
      </c>
      <c r="K653" t="str">
        <f>IF(Table2[[#This Row],[Available]]&lt;=50, "Less Stock", "Required stock" )</f>
        <v>Less Stock</v>
      </c>
      <c r="L653">
        <f t="shared" si="10"/>
        <v>142.76</v>
      </c>
      <c r="M653" t="s">
        <v>2026</v>
      </c>
      <c r="N653">
        <v>49</v>
      </c>
      <c r="O653" t="s">
        <v>2027</v>
      </c>
      <c r="P653" t="str">
        <f>RIGHT(RIGHT(Table2[[#This Row],[last Updated]],12),4)</f>
        <v xml:space="preserve"> PDT</v>
      </c>
      <c r="Q653" t="s">
        <v>484</v>
      </c>
    </row>
    <row r="654" spans="1:17" x14ac:dyDescent="0.25">
      <c r="A654" t="s">
        <v>1595</v>
      </c>
      <c r="B654" t="str">
        <f>UPPER(Table2[[#This Row],[Brand]])</f>
        <v>HOLLISTER</v>
      </c>
      <c r="C654" t="str">
        <f>LOWER(Table2[[#This Row],[Brand]])</f>
        <v>hollister</v>
      </c>
      <c r="D654" t="str">
        <f>PROPER(Table2[[#This Row],[Brand]])</f>
        <v>Hollister</v>
      </c>
      <c r="E654" t="s">
        <v>374</v>
      </c>
      <c r="F654">
        <v>46.75</v>
      </c>
      <c r="G654" t="s">
        <v>2028</v>
      </c>
      <c r="H65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$46.75</v>
      </c>
      <c r="I654" t="str">
        <f>LEFT(Table2[[#This Row],[priceWithCurrency]],3)</f>
        <v xml:space="preserve">US </v>
      </c>
      <c r="J654">
        <v>7</v>
      </c>
      <c r="K654" t="str">
        <f>IF(Table2[[#This Row],[Available]]&lt;=50, "Less Stock", "Required stock" )</f>
        <v>Less Stock</v>
      </c>
      <c r="L654">
        <f t="shared" si="10"/>
        <v>263.57</v>
      </c>
      <c r="M654" t="s">
        <v>2029</v>
      </c>
      <c r="N654">
        <v>3</v>
      </c>
      <c r="P654" t="str">
        <f>RIGHT(RIGHT(Table2[[#This Row],[last Updated]],12),4)</f>
        <v/>
      </c>
      <c r="Q654" t="s">
        <v>2030</v>
      </c>
    </row>
    <row r="655" spans="1:17" x14ac:dyDescent="0.25">
      <c r="A655" t="s">
        <v>504</v>
      </c>
      <c r="B655" t="str">
        <f>UPPER(Table2[[#This Row],[Brand]])</f>
        <v>BURBERRY</v>
      </c>
      <c r="C655" t="str">
        <f>LOWER(Table2[[#This Row],[Brand]])</f>
        <v>burberry</v>
      </c>
      <c r="D655" t="str">
        <f>PROPER(Table2[[#This Row],[Brand]])</f>
        <v>Burberry</v>
      </c>
      <c r="E655" t="s">
        <v>4</v>
      </c>
      <c r="F655">
        <v>75.650000000000006</v>
      </c>
      <c r="G655" t="s">
        <v>2031</v>
      </c>
      <c r="H65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$75.65</v>
      </c>
      <c r="I655" t="str">
        <f>LEFT(Table2[[#This Row],[priceWithCurrency]],3)</f>
        <v xml:space="preserve">US </v>
      </c>
      <c r="J655">
        <v>10</v>
      </c>
      <c r="K655" t="str">
        <f>IF(Table2[[#This Row],[Available]]&lt;=50, "Less Stock", "Required stock" )</f>
        <v>Less Stock</v>
      </c>
      <c r="L655">
        <f t="shared" si="10"/>
        <v>142.76</v>
      </c>
      <c r="M655" t="s">
        <v>474</v>
      </c>
      <c r="N655">
        <v>16</v>
      </c>
      <c r="O655" t="s">
        <v>2032</v>
      </c>
      <c r="P655" t="str">
        <f>RIGHT(RIGHT(Table2[[#This Row],[last Updated]],12),4)</f>
        <v xml:space="preserve"> PDT</v>
      </c>
      <c r="Q655" t="s">
        <v>108</v>
      </c>
    </row>
    <row r="656" spans="1:17" x14ac:dyDescent="0.25">
      <c r="A656" t="s">
        <v>270</v>
      </c>
      <c r="B656" t="str">
        <f>UPPER(Table2[[#This Row],[Brand]])</f>
        <v>YVES SAINT LAURENT</v>
      </c>
      <c r="C656" t="str">
        <f>LOWER(Table2[[#This Row],[Brand]])</f>
        <v>yves saint laurent</v>
      </c>
      <c r="D656" t="str">
        <f>PROPER(Table2[[#This Row],[Brand]])</f>
        <v>Yves Saint Laurent</v>
      </c>
      <c r="E656" t="s">
        <v>4</v>
      </c>
      <c r="F656">
        <v>94.93</v>
      </c>
      <c r="G656" t="s">
        <v>2033</v>
      </c>
      <c r="H65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$94.93</v>
      </c>
      <c r="I656" t="str">
        <f>LEFT(Table2[[#This Row],[priceWithCurrency]],3)</f>
        <v xml:space="preserve">US </v>
      </c>
      <c r="J656">
        <v>3</v>
      </c>
      <c r="K656" t="str">
        <f>IF(Table2[[#This Row],[Available]]&lt;=50, "Less Stock", "Required stock" )</f>
        <v>Less Stock</v>
      </c>
      <c r="L656">
        <f t="shared" si="10"/>
        <v>1303.53</v>
      </c>
      <c r="M656" t="s">
        <v>1728</v>
      </c>
      <c r="N656">
        <v>15</v>
      </c>
      <c r="O656" t="s">
        <v>2034</v>
      </c>
      <c r="P656" t="str">
        <f>RIGHT(RIGHT(Table2[[#This Row],[last Updated]],12),4)</f>
        <v xml:space="preserve"> PDT</v>
      </c>
      <c r="Q656" t="s">
        <v>30</v>
      </c>
    </row>
    <row r="657" spans="1:17" x14ac:dyDescent="0.25">
      <c r="A657" t="s">
        <v>117</v>
      </c>
      <c r="B657" t="str">
        <f>UPPER(Table2[[#This Row],[Brand]])</f>
        <v>AFNAN</v>
      </c>
      <c r="C657" t="str">
        <f>LOWER(Table2[[#This Row],[Brand]])</f>
        <v>afnan</v>
      </c>
      <c r="D657" t="str">
        <f>PROPER(Table2[[#This Row],[Brand]])</f>
        <v>Afnan</v>
      </c>
      <c r="E657" t="s">
        <v>4</v>
      </c>
      <c r="F657">
        <v>34.5</v>
      </c>
      <c r="G657" t="s">
        <v>2035</v>
      </c>
      <c r="H65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$34.50</v>
      </c>
      <c r="I657" t="str">
        <f>LEFT(Table2[[#This Row],[priceWithCurrency]],3)</f>
        <v xml:space="preserve">US </v>
      </c>
      <c r="J657">
        <v>2</v>
      </c>
      <c r="K657" t="str">
        <f>IF(Table2[[#This Row],[Available]]&lt;=50, "Less Stock", "Required stock" )</f>
        <v>Less Stock</v>
      </c>
      <c r="L657">
        <f t="shared" si="10"/>
        <v>49.99</v>
      </c>
      <c r="M657" t="s">
        <v>1132</v>
      </c>
      <c r="N657">
        <v>16</v>
      </c>
      <c r="O657" t="s">
        <v>2036</v>
      </c>
      <c r="P657" t="str">
        <f>RIGHT(RIGHT(Table2[[#This Row],[last Updated]],12),4)</f>
        <v xml:space="preserve"> PDT</v>
      </c>
      <c r="Q657" t="s">
        <v>121</v>
      </c>
    </row>
    <row r="658" spans="1:17" x14ac:dyDescent="0.25">
      <c r="A658" t="s">
        <v>2037</v>
      </c>
      <c r="B658" t="str">
        <f>UPPER(Table2[[#This Row],[Brand]])</f>
        <v>MICHAEL MALUL LONDON</v>
      </c>
      <c r="C658" t="str">
        <f>LOWER(Table2[[#This Row],[Brand]])</f>
        <v>michael malul london</v>
      </c>
      <c r="D658" t="str">
        <f>PROPER(Table2[[#This Row],[Brand]])</f>
        <v>Michael Malul London</v>
      </c>
      <c r="E658" t="s">
        <v>4</v>
      </c>
      <c r="F658">
        <v>90.11</v>
      </c>
      <c r="G658" t="s">
        <v>2038</v>
      </c>
      <c r="H65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$90.11</v>
      </c>
      <c r="I658" t="str">
        <f>LEFT(Table2[[#This Row],[priceWithCurrency]],3)</f>
        <v xml:space="preserve">US </v>
      </c>
      <c r="J658">
        <v>10</v>
      </c>
      <c r="K658" t="str">
        <f>IF(Table2[[#This Row],[Available]]&lt;=50, "Less Stock", "Required stock" )</f>
        <v>Less Stock</v>
      </c>
      <c r="L658">
        <f t="shared" si="10"/>
        <v>1292.3400000000001</v>
      </c>
      <c r="M658" t="s">
        <v>1006</v>
      </c>
      <c r="N658">
        <v>51</v>
      </c>
      <c r="O658" t="s">
        <v>2039</v>
      </c>
      <c r="P658" t="str">
        <f>RIGHT(RIGHT(Table2[[#This Row],[last Updated]],12),4)</f>
        <v xml:space="preserve"> PDT</v>
      </c>
      <c r="Q658" t="s">
        <v>2040</v>
      </c>
    </row>
    <row r="659" spans="1:17" x14ac:dyDescent="0.25">
      <c r="A659" t="s">
        <v>2041</v>
      </c>
      <c r="B659" t="str">
        <f>UPPER(Table2[[#This Row],[Brand]])</f>
        <v>ESTÉE LAUDER</v>
      </c>
      <c r="C659" t="str">
        <f>LOWER(Table2[[#This Row],[Brand]])</f>
        <v>estée lauder</v>
      </c>
      <c r="D659" t="str">
        <f>PROPER(Table2[[#This Row],[Brand]])</f>
        <v>Estée Lauder</v>
      </c>
      <c r="E659" t="s">
        <v>374</v>
      </c>
      <c r="F659">
        <v>19.989999999999998</v>
      </c>
      <c r="G659" t="s">
        <v>1072</v>
      </c>
      <c r="H65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$19.99</v>
      </c>
      <c r="I659" t="str">
        <f>LEFT(Table2[[#This Row],[priceWithCurrency]],3)</f>
        <v xml:space="preserve">US </v>
      </c>
      <c r="J659">
        <v>3</v>
      </c>
      <c r="K659" t="str">
        <f>IF(Table2[[#This Row],[Available]]&lt;=50, "Less Stock", "Required stock" )</f>
        <v>Less Stock</v>
      </c>
      <c r="L659">
        <f t="shared" si="10"/>
        <v>20</v>
      </c>
      <c r="M659" t="s">
        <v>1541</v>
      </c>
      <c r="N659">
        <v>10</v>
      </c>
      <c r="O659" t="s">
        <v>2042</v>
      </c>
      <c r="P659" t="str">
        <f>RIGHT(RIGHT(Table2[[#This Row],[last Updated]],12),4)</f>
        <v xml:space="preserve"> PDT</v>
      </c>
      <c r="Q659" t="s">
        <v>480</v>
      </c>
    </row>
    <row r="660" spans="1:17" x14ac:dyDescent="0.25">
      <c r="A660" t="s">
        <v>1726</v>
      </c>
      <c r="B660" t="str">
        <f>UPPER(Table2[[#This Row],[Brand]])</f>
        <v>MERCEDES-BENZ</v>
      </c>
      <c r="C660" t="str">
        <f>LOWER(Table2[[#This Row],[Brand]])</f>
        <v>mercedes-benz</v>
      </c>
      <c r="D660" t="str">
        <f>PROPER(Table2[[#This Row],[Brand]])</f>
        <v>Mercedes-Benz</v>
      </c>
      <c r="E660" t="s">
        <v>15</v>
      </c>
      <c r="F660">
        <v>47.99</v>
      </c>
      <c r="G660" t="s">
        <v>878</v>
      </c>
      <c r="H66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$47.99</v>
      </c>
      <c r="I660" t="str">
        <f>LEFT(Table2[[#This Row],[priceWithCurrency]],3)</f>
        <v xml:space="preserve">US </v>
      </c>
      <c r="J660">
        <v>10</v>
      </c>
      <c r="K660" t="str">
        <f>IF(Table2[[#This Row],[Available]]&lt;=50, "Less Stock", "Required stock" )</f>
        <v>Less Stock</v>
      </c>
      <c r="L660">
        <f t="shared" si="10"/>
        <v>1570.7300000000005</v>
      </c>
      <c r="M660" t="s">
        <v>1405</v>
      </c>
      <c r="N660">
        <v>17</v>
      </c>
      <c r="O660" t="s">
        <v>2043</v>
      </c>
      <c r="P660" t="str">
        <f>RIGHT(RIGHT(Table2[[#This Row],[last Updated]],12),4)</f>
        <v xml:space="preserve"> PDT</v>
      </c>
      <c r="Q660" t="s">
        <v>226</v>
      </c>
    </row>
    <row r="661" spans="1:17" x14ac:dyDescent="0.25">
      <c r="A661" t="s">
        <v>1235</v>
      </c>
      <c r="B661" t="str">
        <f>UPPER(Table2[[#This Row],[Brand]])</f>
        <v>PRADA</v>
      </c>
      <c r="C661" t="str">
        <f>LOWER(Table2[[#This Row],[Brand]])</f>
        <v>prada</v>
      </c>
      <c r="D661" t="str">
        <f>PROPER(Table2[[#This Row],[Brand]])</f>
        <v>Prada</v>
      </c>
      <c r="E661" t="s">
        <v>4</v>
      </c>
      <c r="F661">
        <v>113.98</v>
      </c>
      <c r="G661" t="s">
        <v>2044</v>
      </c>
      <c r="H66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$113.98</v>
      </c>
      <c r="I661" t="str">
        <f>LEFT(Table2[[#This Row],[priceWithCurrency]],3)</f>
        <v xml:space="preserve">US </v>
      </c>
      <c r="J661">
        <v>10</v>
      </c>
      <c r="K661" t="str">
        <f>IF(Table2[[#This Row],[Available]]&lt;=50, "Less Stock", "Required stock" )</f>
        <v>Less Stock</v>
      </c>
      <c r="L661">
        <f t="shared" si="10"/>
        <v>1606.7300000000005</v>
      </c>
      <c r="M661" t="s">
        <v>2045</v>
      </c>
      <c r="N661">
        <v>755</v>
      </c>
      <c r="O661" t="s">
        <v>2046</v>
      </c>
      <c r="P661" t="str">
        <f>RIGHT(RIGHT(Table2[[#This Row],[last Updated]],12),4)</f>
        <v xml:space="preserve"> PDT</v>
      </c>
      <c r="Q661" t="s">
        <v>131</v>
      </c>
    </row>
    <row r="662" spans="1:17" x14ac:dyDescent="0.25">
      <c r="A662" t="s">
        <v>335</v>
      </c>
      <c r="B662" t="str">
        <f>UPPER(Table2[[#This Row],[Brand]])</f>
        <v>COLOGNE</v>
      </c>
      <c r="C662" t="str">
        <f>LOWER(Table2[[#This Row],[Brand]])</f>
        <v>cologne</v>
      </c>
      <c r="D662" t="str">
        <f>PROPER(Table2[[#This Row],[Brand]])</f>
        <v>Cologne</v>
      </c>
      <c r="E662" t="s">
        <v>4</v>
      </c>
      <c r="F662">
        <v>67.5</v>
      </c>
      <c r="G662" t="s">
        <v>2047</v>
      </c>
      <c r="H66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$67.50</v>
      </c>
      <c r="I662" t="str">
        <f>LEFT(Table2[[#This Row],[priceWithCurrency]],3)</f>
        <v xml:space="preserve">US </v>
      </c>
      <c r="J662">
        <v>4</v>
      </c>
      <c r="K662" t="str">
        <f>IF(Table2[[#This Row],[Available]]&lt;=50, "Less Stock", "Required stock" )</f>
        <v>Less Stock</v>
      </c>
      <c r="L662">
        <f t="shared" si="10"/>
        <v>1212.3700000000001</v>
      </c>
      <c r="M662" t="s">
        <v>2048</v>
      </c>
      <c r="N662">
        <v>3</v>
      </c>
      <c r="O662" t="s">
        <v>2049</v>
      </c>
      <c r="P662" t="str">
        <f>RIGHT(RIGHT(Table2[[#This Row],[last Updated]],12),4)</f>
        <v xml:space="preserve"> PDT</v>
      </c>
      <c r="Q662" t="s">
        <v>2050</v>
      </c>
    </row>
    <row r="663" spans="1:17" x14ac:dyDescent="0.25">
      <c r="A663" t="s">
        <v>2051</v>
      </c>
      <c r="B663" t="str">
        <f>UPPER(Table2[[#This Row],[Brand]])</f>
        <v>PIERRE CARDIN</v>
      </c>
      <c r="C663" t="str">
        <f>LOWER(Table2[[#This Row],[Brand]])</f>
        <v>pierre cardin</v>
      </c>
      <c r="D663" t="str">
        <f>PROPER(Table2[[#This Row],[Brand]])</f>
        <v>Pierre Cardin</v>
      </c>
      <c r="E663" t="s">
        <v>15</v>
      </c>
      <c r="F663">
        <v>7.28</v>
      </c>
      <c r="G663" t="s">
        <v>2052</v>
      </c>
      <c r="H66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$7.28</v>
      </c>
      <c r="I663" t="str">
        <f>LEFT(Table2[[#This Row],[priceWithCurrency]],3)</f>
        <v xml:space="preserve">US </v>
      </c>
      <c r="J663">
        <v>10</v>
      </c>
      <c r="K663" t="str">
        <f>IF(Table2[[#This Row],[Available]]&lt;=50, "Less Stock", "Required stock" )</f>
        <v>Less Stock</v>
      </c>
      <c r="L663">
        <f t="shared" si="10"/>
        <v>1199.3700000000001</v>
      </c>
      <c r="M663" t="s">
        <v>2053</v>
      </c>
      <c r="N663">
        <v>149</v>
      </c>
      <c r="O663" t="s">
        <v>2054</v>
      </c>
      <c r="P663" t="str">
        <f>RIGHT(RIGHT(Table2[[#This Row],[last Updated]],12),4)</f>
        <v xml:space="preserve"> PDT</v>
      </c>
      <c r="Q663" t="s">
        <v>89</v>
      </c>
    </row>
    <row r="664" spans="1:17" x14ac:dyDescent="0.25">
      <c r="A664" t="s">
        <v>2055</v>
      </c>
      <c r="B664" t="str">
        <f>UPPER(Table2[[#This Row],[Brand]])</f>
        <v>RAWCHEMISTRY</v>
      </c>
      <c r="C664" t="str">
        <f>LOWER(Table2[[#This Row],[Brand]])</f>
        <v>rawchemistry</v>
      </c>
      <c r="D664" t="str">
        <f>PROPER(Table2[[#This Row],[Brand]])</f>
        <v>Rawchemistry</v>
      </c>
      <c r="E664" t="s">
        <v>2056</v>
      </c>
      <c r="F664">
        <v>30.95</v>
      </c>
      <c r="G664" t="s">
        <v>2057</v>
      </c>
      <c r="H66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$30.95</v>
      </c>
      <c r="I664" t="str">
        <f>LEFT(Table2[[#This Row],[priceWithCurrency]],3)</f>
        <v xml:space="preserve">US </v>
      </c>
      <c r="J664">
        <v>13</v>
      </c>
      <c r="K664" t="str">
        <f>IF(Table2[[#This Row],[Available]]&lt;=50, "Less Stock", "Required stock" )</f>
        <v>Less Stock</v>
      </c>
      <c r="L664">
        <f t="shared" si="10"/>
        <v>1199.3700000000001</v>
      </c>
      <c r="M664" t="s">
        <v>2058</v>
      </c>
      <c r="N664">
        <v>4</v>
      </c>
      <c r="O664" t="s">
        <v>2059</v>
      </c>
      <c r="P664" t="str">
        <f>RIGHT(RIGHT(Table2[[#This Row],[last Updated]],12),4)</f>
        <v xml:space="preserve"> PDT</v>
      </c>
      <c r="Q664" t="s">
        <v>2060</v>
      </c>
    </row>
    <row r="665" spans="1:17" x14ac:dyDescent="0.25">
      <c r="A665" t="s">
        <v>2037</v>
      </c>
      <c r="B665" t="str">
        <f>UPPER(Table2[[#This Row],[Brand]])</f>
        <v>MICHAEL MALUL LONDON</v>
      </c>
      <c r="C665" t="str">
        <f>LOWER(Table2[[#This Row],[Brand]])</f>
        <v>michael malul london</v>
      </c>
      <c r="D665" t="str">
        <f>PROPER(Table2[[#This Row],[Brand]])</f>
        <v>Michael Malul London</v>
      </c>
      <c r="E665" t="s">
        <v>4</v>
      </c>
      <c r="F665">
        <v>89.99</v>
      </c>
      <c r="G665" t="s">
        <v>2061</v>
      </c>
      <c r="H66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$89.99</v>
      </c>
      <c r="I665" t="str">
        <f>LEFT(Table2[[#This Row],[priceWithCurrency]],3)</f>
        <v xml:space="preserve">US </v>
      </c>
      <c r="J665">
        <v>4</v>
      </c>
      <c r="K665" t="str">
        <f>IF(Table2[[#This Row],[Available]]&lt;=50, "Less Stock", "Required stock" )</f>
        <v>Less Stock</v>
      </c>
      <c r="L665">
        <f t="shared" si="10"/>
        <v>1199.3700000000001</v>
      </c>
      <c r="M665" t="s">
        <v>566</v>
      </c>
      <c r="N665">
        <v>8</v>
      </c>
      <c r="O665" t="s">
        <v>2062</v>
      </c>
      <c r="P665" t="str">
        <f>RIGHT(RIGHT(Table2[[#This Row],[last Updated]],12),4)</f>
        <v xml:space="preserve"> PDT</v>
      </c>
      <c r="Q665" t="s">
        <v>2063</v>
      </c>
    </row>
    <row r="666" spans="1:17" x14ac:dyDescent="0.25">
      <c r="A666" t="s">
        <v>335</v>
      </c>
      <c r="B666" t="str">
        <f>UPPER(Table2[[#This Row],[Brand]])</f>
        <v>COLOGNE</v>
      </c>
      <c r="C666" t="str">
        <f>LOWER(Table2[[#This Row],[Brand]])</f>
        <v>cologne</v>
      </c>
      <c r="D666" t="str">
        <f>PROPER(Table2[[#This Row],[Brand]])</f>
        <v>Cologne</v>
      </c>
      <c r="E666" t="s">
        <v>32</v>
      </c>
      <c r="F666">
        <v>68.89</v>
      </c>
      <c r="G666" t="s">
        <v>2064</v>
      </c>
      <c r="H66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$68.89</v>
      </c>
      <c r="I666" t="str">
        <f>LEFT(Table2[[#This Row],[priceWithCurrency]],3)</f>
        <v xml:space="preserve">US </v>
      </c>
      <c r="J666">
        <v>4</v>
      </c>
      <c r="K666" t="str">
        <f>IF(Table2[[#This Row],[Available]]&lt;=50, "Less Stock", "Required stock" )</f>
        <v>Less Stock</v>
      </c>
      <c r="L666">
        <f t="shared" si="10"/>
        <v>1123.42</v>
      </c>
      <c r="M666" t="s">
        <v>2065</v>
      </c>
      <c r="N666">
        <v>25</v>
      </c>
      <c r="O666" t="s">
        <v>2066</v>
      </c>
      <c r="P666" t="str">
        <f>RIGHT(RIGHT(Table2[[#This Row],[last Updated]],12),4)</f>
        <v xml:space="preserve"> PDT</v>
      </c>
      <c r="Q666" t="s">
        <v>480</v>
      </c>
    </row>
    <row r="667" spans="1:17" x14ac:dyDescent="0.25">
      <c r="A667" t="s">
        <v>2067</v>
      </c>
      <c r="B667" t="str">
        <f>UPPER(Table2[[#This Row],[Brand]])</f>
        <v>STERLING</v>
      </c>
      <c r="C667" t="str">
        <f>LOWER(Table2[[#This Row],[Brand]])</f>
        <v>sterling</v>
      </c>
      <c r="D667" t="str">
        <f>PROPER(Table2[[#This Row],[Brand]])</f>
        <v>Sterling</v>
      </c>
      <c r="E667" t="s">
        <v>276</v>
      </c>
      <c r="F667">
        <v>38.979999999999997</v>
      </c>
      <c r="G667" t="s">
        <v>2068</v>
      </c>
      <c r="H66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$38.98</v>
      </c>
      <c r="I667" t="str">
        <f>LEFT(Table2[[#This Row],[priceWithCurrency]],3)</f>
        <v xml:space="preserve">US </v>
      </c>
      <c r="J667">
        <v>10</v>
      </c>
      <c r="K667" t="str">
        <f>IF(Table2[[#This Row],[Available]]&lt;=50, "Less Stock", "Required stock" )</f>
        <v>Less Stock</v>
      </c>
      <c r="L667">
        <f t="shared" si="10"/>
        <v>1123.42</v>
      </c>
      <c r="M667" t="s">
        <v>471</v>
      </c>
      <c r="N667">
        <v>129</v>
      </c>
      <c r="O667" t="s">
        <v>2069</v>
      </c>
      <c r="P667" t="str">
        <f>RIGHT(RIGHT(Table2[[#This Row],[last Updated]],12),4)</f>
        <v xml:space="preserve"> PDT</v>
      </c>
      <c r="Q667" t="s">
        <v>226</v>
      </c>
    </row>
    <row r="668" spans="1:17" x14ac:dyDescent="0.25">
      <c r="A668" t="s">
        <v>79</v>
      </c>
      <c r="B668" t="str">
        <f>UPPER(Table2[[#This Row],[Brand]])</f>
        <v>PACO RABANNE</v>
      </c>
      <c r="C668" t="str">
        <f>LOWER(Table2[[#This Row],[Brand]])</f>
        <v>paco rabanne</v>
      </c>
      <c r="D668" t="str">
        <f>PROPER(Table2[[#This Row],[Brand]])</f>
        <v>Paco Rabanne</v>
      </c>
      <c r="E668" t="s">
        <v>15</v>
      </c>
      <c r="F668">
        <v>46</v>
      </c>
      <c r="G668" t="s">
        <v>2070</v>
      </c>
      <c r="H66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$46.00</v>
      </c>
      <c r="I668" t="str">
        <f>LEFT(Table2[[#This Row],[priceWithCurrency]],3)</f>
        <v xml:space="preserve">US </v>
      </c>
      <c r="J668">
        <v>59</v>
      </c>
      <c r="K668" t="str">
        <f>IF(Table2[[#This Row],[Available]]&lt;=50, "Less Stock", "Required stock" )</f>
        <v>Required stock</v>
      </c>
      <c r="L668">
        <f t="shared" si="10"/>
        <v>1773.6300000000003</v>
      </c>
      <c r="M668" t="s">
        <v>2071</v>
      </c>
      <c r="N668">
        <v>1207</v>
      </c>
      <c r="O668" t="s">
        <v>2072</v>
      </c>
      <c r="P668" t="str">
        <f>RIGHT(RIGHT(Table2[[#This Row],[last Updated]],12),4)</f>
        <v xml:space="preserve"> PDT</v>
      </c>
      <c r="Q668" t="s">
        <v>121</v>
      </c>
    </row>
    <row r="669" spans="1:17" x14ac:dyDescent="0.25">
      <c r="A669" t="s">
        <v>504</v>
      </c>
      <c r="B669" t="str">
        <f>UPPER(Table2[[#This Row],[Brand]])</f>
        <v>BURBERRY</v>
      </c>
      <c r="C669" t="str">
        <f>LOWER(Table2[[#This Row],[Brand]])</f>
        <v>burberry</v>
      </c>
      <c r="D669" t="str">
        <f>PROPER(Table2[[#This Row],[Brand]])</f>
        <v>Burberry</v>
      </c>
      <c r="E669" t="s">
        <v>15</v>
      </c>
      <c r="F669">
        <v>32.99</v>
      </c>
      <c r="G669" t="s">
        <v>2073</v>
      </c>
      <c r="H66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$32.99</v>
      </c>
      <c r="I669" t="str">
        <f>LEFT(Table2[[#This Row],[priceWithCurrency]],3)</f>
        <v xml:space="preserve">US </v>
      </c>
      <c r="J669">
        <v>6</v>
      </c>
      <c r="K669" t="str">
        <f>IF(Table2[[#This Row],[Available]]&lt;=50, "Less Stock", "Required stock" )</f>
        <v>Less Stock</v>
      </c>
      <c r="L669">
        <f t="shared" si="10"/>
        <v>1774.9300000000005</v>
      </c>
      <c r="M669" t="s">
        <v>1794</v>
      </c>
      <c r="N669">
        <v>59</v>
      </c>
      <c r="O669" t="s">
        <v>2074</v>
      </c>
      <c r="P669" t="str">
        <f>RIGHT(RIGHT(Table2[[#This Row],[last Updated]],12),4)</f>
        <v xml:space="preserve"> PDT</v>
      </c>
      <c r="Q669" t="s">
        <v>155</v>
      </c>
    </row>
    <row r="670" spans="1:17" x14ac:dyDescent="0.25">
      <c r="A670" t="s">
        <v>1235</v>
      </c>
      <c r="B670" t="str">
        <f>UPPER(Table2[[#This Row],[Brand]])</f>
        <v>PRADA</v>
      </c>
      <c r="C670" t="str">
        <f>LOWER(Table2[[#This Row],[Brand]])</f>
        <v>prada</v>
      </c>
      <c r="D670" t="str">
        <f>PROPER(Table2[[#This Row],[Brand]])</f>
        <v>Prada</v>
      </c>
      <c r="E670" t="s">
        <v>4</v>
      </c>
      <c r="F670">
        <v>181.04</v>
      </c>
      <c r="G670" t="s">
        <v>2075</v>
      </c>
      <c r="H67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$181.04</v>
      </c>
      <c r="I670" t="str">
        <f>LEFT(Table2[[#This Row],[priceWithCurrency]],3)</f>
        <v xml:space="preserve">US </v>
      </c>
      <c r="J670">
        <v>5</v>
      </c>
      <c r="K670" t="str">
        <f>IF(Table2[[#This Row],[Available]]&lt;=50, "Less Stock", "Required stock" )</f>
        <v>Less Stock</v>
      </c>
      <c r="L670">
        <f t="shared" si="10"/>
        <v>1735.9400000000003</v>
      </c>
      <c r="M670" t="s">
        <v>2076</v>
      </c>
      <c r="N670">
        <v>30</v>
      </c>
      <c r="O670" t="s">
        <v>2077</v>
      </c>
      <c r="P670" t="str">
        <f>RIGHT(RIGHT(Table2[[#This Row],[last Updated]],12),4)</f>
        <v xml:space="preserve"> PDT</v>
      </c>
      <c r="Q670" t="s">
        <v>2078</v>
      </c>
    </row>
    <row r="671" spans="1:17" x14ac:dyDescent="0.25">
      <c r="A671" t="s">
        <v>117</v>
      </c>
      <c r="B671" t="str">
        <f>UPPER(Table2[[#This Row],[Brand]])</f>
        <v>AFNAN</v>
      </c>
      <c r="C671" t="str">
        <f>LOWER(Table2[[#This Row],[Brand]])</f>
        <v>afnan</v>
      </c>
      <c r="D671" t="str">
        <f>PROPER(Table2[[#This Row],[Brand]])</f>
        <v>Afnan</v>
      </c>
      <c r="E671" t="s">
        <v>276</v>
      </c>
      <c r="F671">
        <v>38.409999999999997</v>
      </c>
      <c r="G671" t="s">
        <v>2079</v>
      </c>
      <c r="H67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$38.41</v>
      </c>
      <c r="I671" t="str">
        <f>LEFT(Table2[[#This Row],[priceWithCurrency]],3)</f>
        <v xml:space="preserve">US </v>
      </c>
      <c r="J671">
        <v>10</v>
      </c>
      <c r="K671" t="str">
        <f>IF(Table2[[#This Row],[Available]]&lt;=50, "Less Stock", "Required stock" )</f>
        <v>Less Stock</v>
      </c>
      <c r="L671">
        <f t="shared" si="10"/>
        <v>1735.9400000000003</v>
      </c>
      <c r="M671" t="s">
        <v>2080</v>
      </c>
      <c r="N671">
        <v>147</v>
      </c>
      <c r="O671" t="s">
        <v>2081</v>
      </c>
      <c r="P671" t="str">
        <f>RIGHT(RIGHT(Table2[[#This Row],[last Updated]],12),4)</f>
        <v xml:space="preserve"> PDT</v>
      </c>
      <c r="Q671" t="s">
        <v>226</v>
      </c>
    </row>
    <row r="672" spans="1:17" x14ac:dyDescent="0.25">
      <c r="A672" t="s">
        <v>860</v>
      </c>
      <c r="B672" t="str">
        <f>UPPER(Table2[[#This Row],[Brand]])</f>
        <v>LIZ CLAIBORNE</v>
      </c>
      <c r="C672" t="str">
        <f>LOWER(Table2[[#This Row],[Brand]])</f>
        <v>liz claiborne</v>
      </c>
      <c r="D672" t="str">
        <f>PROPER(Table2[[#This Row],[Brand]])</f>
        <v>Liz Claiborne</v>
      </c>
      <c r="E672" t="s">
        <v>374</v>
      </c>
      <c r="F672">
        <v>17.98</v>
      </c>
      <c r="G672" t="s">
        <v>1227</v>
      </c>
      <c r="H67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$17.98</v>
      </c>
      <c r="I672" t="str">
        <f>LEFT(Table2[[#This Row],[priceWithCurrency]],3)</f>
        <v xml:space="preserve">US </v>
      </c>
      <c r="K672" t="str">
        <f>IF(Table2[[#This Row],[Available]]&lt;=50, "Less Stock", "Required stock" )</f>
        <v>Less Stock</v>
      </c>
      <c r="L672">
        <f t="shared" si="10"/>
        <v>257.06</v>
      </c>
      <c r="M672" t="s">
        <v>2082</v>
      </c>
      <c r="N672">
        <v>150</v>
      </c>
      <c r="O672" t="s">
        <v>2083</v>
      </c>
      <c r="P672" t="str">
        <f>RIGHT(RIGHT(Table2[[#This Row],[last Updated]],12),4)</f>
        <v xml:space="preserve"> PDT</v>
      </c>
      <c r="Q672" t="s">
        <v>226</v>
      </c>
    </row>
    <row r="673" spans="1:17" x14ac:dyDescent="0.25">
      <c r="A673" t="s">
        <v>2084</v>
      </c>
      <c r="B673" t="str">
        <f>UPPER(Table2[[#This Row],[Brand]])</f>
        <v>TERRITOIRE</v>
      </c>
      <c r="C673" t="str">
        <f>LOWER(Table2[[#This Row],[Brand]])</f>
        <v>territoire</v>
      </c>
      <c r="D673" t="str">
        <f>PROPER(Table2[[#This Row],[Brand]])</f>
        <v>Territoire</v>
      </c>
      <c r="E673" t="s">
        <v>4</v>
      </c>
      <c r="F673">
        <v>16.489999999999998</v>
      </c>
      <c r="G673" t="s">
        <v>2085</v>
      </c>
      <c r="H67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$16.49</v>
      </c>
      <c r="I673" t="str">
        <f>LEFT(Table2[[#This Row],[priceWithCurrency]],3)</f>
        <v xml:space="preserve">US </v>
      </c>
      <c r="J673">
        <v>10</v>
      </c>
      <c r="K673" t="str">
        <f>IF(Table2[[#This Row],[Available]]&lt;=50, "Less Stock", "Required stock" )</f>
        <v>Less Stock</v>
      </c>
      <c r="L673">
        <f t="shared" si="10"/>
        <v>1177.9100000000001</v>
      </c>
      <c r="M673" t="s">
        <v>2086</v>
      </c>
      <c r="N673">
        <v>77</v>
      </c>
      <c r="O673" t="s">
        <v>2087</v>
      </c>
      <c r="P673" t="str">
        <f>RIGHT(RIGHT(Table2[[#This Row],[last Updated]],12),4)</f>
        <v xml:space="preserve"> PDT</v>
      </c>
      <c r="Q673" t="s">
        <v>89</v>
      </c>
    </row>
    <row r="674" spans="1:17" x14ac:dyDescent="0.25">
      <c r="A674" t="s">
        <v>2088</v>
      </c>
      <c r="B674" t="str">
        <f>UPPER(Table2[[#This Row],[Brand]])</f>
        <v>JIMMY CHOO</v>
      </c>
      <c r="C674" t="str">
        <f>LOWER(Table2[[#This Row],[Brand]])</f>
        <v>jimmy choo</v>
      </c>
      <c r="D674" t="str">
        <f>PROPER(Table2[[#This Row],[Brand]])</f>
        <v>Jimmy Choo</v>
      </c>
      <c r="E674" t="s">
        <v>15</v>
      </c>
      <c r="F674">
        <v>31.95</v>
      </c>
      <c r="G674" t="s">
        <v>1472</v>
      </c>
      <c r="H67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$31.95</v>
      </c>
      <c r="I674" t="str">
        <f>LEFT(Table2[[#This Row],[priceWithCurrency]],3)</f>
        <v xml:space="preserve">US </v>
      </c>
      <c r="J674">
        <v>3</v>
      </c>
      <c r="K674" t="str">
        <f>IF(Table2[[#This Row],[Available]]&lt;=50, "Less Stock", "Required stock" )</f>
        <v>Less Stock</v>
      </c>
      <c r="L674">
        <f t="shared" si="10"/>
        <v>17.989999999999998</v>
      </c>
      <c r="M674" t="s">
        <v>1073</v>
      </c>
      <c r="N674">
        <v>8</v>
      </c>
      <c r="O674" t="s">
        <v>2089</v>
      </c>
      <c r="P674" t="str">
        <f>RIGHT(RIGHT(Table2[[#This Row],[last Updated]],12),4)</f>
        <v xml:space="preserve"> PDT</v>
      </c>
      <c r="Q674" t="s">
        <v>30</v>
      </c>
    </row>
    <row r="675" spans="1:17" x14ac:dyDescent="0.25">
      <c r="A675" t="s">
        <v>1595</v>
      </c>
      <c r="B675" t="str">
        <f>UPPER(Table2[[#This Row],[Brand]])</f>
        <v>HOLLISTER</v>
      </c>
      <c r="C675" t="str">
        <f>LOWER(Table2[[#This Row],[Brand]])</f>
        <v>hollister</v>
      </c>
      <c r="D675" t="str">
        <f>PROPER(Table2[[#This Row],[Brand]])</f>
        <v>Hollister</v>
      </c>
      <c r="E675" t="s">
        <v>2090</v>
      </c>
      <c r="F675">
        <v>26.75</v>
      </c>
      <c r="G675" t="s">
        <v>2091</v>
      </c>
      <c r="H67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$26.75</v>
      </c>
      <c r="I675" t="str">
        <f>LEFT(Table2[[#This Row],[priceWithCurrency]],3)</f>
        <v xml:space="preserve">US </v>
      </c>
      <c r="J675">
        <v>7</v>
      </c>
      <c r="K675" t="str">
        <f>IF(Table2[[#This Row],[Available]]&lt;=50, "Less Stock", "Required stock" )</f>
        <v>Less Stock</v>
      </c>
      <c r="L675">
        <f t="shared" si="10"/>
        <v>69.95</v>
      </c>
      <c r="M675" t="s">
        <v>2092</v>
      </c>
      <c r="N675">
        <v>5</v>
      </c>
      <c r="P675" t="str">
        <f>RIGHT(RIGHT(Table2[[#This Row],[last Updated]],12),4)</f>
        <v/>
      </c>
      <c r="Q675" t="s">
        <v>669</v>
      </c>
    </row>
    <row r="676" spans="1:17" x14ac:dyDescent="0.25">
      <c r="A676" t="s">
        <v>1079</v>
      </c>
      <c r="B676" t="str">
        <f>UPPER(Table2[[#This Row],[Brand]])</f>
        <v>BENTLEY</v>
      </c>
      <c r="C676" t="str">
        <f>LOWER(Table2[[#This Row],[Brand]])</f>
        <v>bentley</v>
      </c>
      <c r="D676" t="str">
        <f>PROPER(Table2[[#This Row],[Brand]])</f>
        <v>Bentley</v>
      </c>
      <c r="E676" t="s">
        <v>4</v>
      </c>
      <c r="F676">
        <v>29.13</v>
      </c>
      <c r="G676" t="s">
        <v>2093</v>
      </c>
      <c r="H67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$29.13</v>
      </c>
      <c r="I676" t="str">
        <f>LEFT(Table2[[#This Row],[priceWithCurrency]],3)</f>
        <v xml:space="preserve">US </v>
      </c>
      <c r="J676">
        <v>3</v>
      </c>
      <c r="K676" t="str">
        <f>IF(Table2[[#This Row],[Available]]&lt;=50, "Less Stock", "Required stock" )</f>
        <v>Less Stock</v>
      </c>
      <c r="L676">
        <f t="shared" si="10"/>
        <v>1819.4400000000005</v>
      </c>
      <c r="M676" t="s">
        <v>2094</v>
      </c>
      <c r="N676">
        <v>13</v>
      </c>
      <c r="O676" t="s">
        <v>2095</v>
      </c>
      <c r="P676" t="str">
        <f>RIGHT(RIGHT(Table2[[#This Row],[last Updated]],12),4)</f>
        <v xml:space="preserve"> PDT</v>
      </c>
      <c r="Q676" t="s">
        <v>30</v>
      </c>
    </row>
    <row r="677" spans="1:17" x14ac:dyDescent="0.25">
      <c r="A677" t="s">
        <v>1214</v>
      </c>
      <c r="B677" t="str">
        <f>UPPER(Table2[[#This Row],[Brand]])</f>
        <v>VIKTOR &amp; ROLF</v>
      </c>
      <c r="C677" t="str">
        <f>LOWER(Table2[[#This Row],[Brand]])</f>
        <v>viktor &amp; rolf</v>
      </c>
      <c r="D677" t="str">
        <f>PROPER(Table2[[#This Row],[Brand]])</f>
        <v>Viktor &amp; Rolf</v>
      </c>
      <c r="E677" t="s">
        <v>4</v>
      </c>
      <c r="F677">
        <v>74.849999999999994</v>
      </c>
      <c r="G677" t="s">
        <v>2096</v>
      </c>
      <c r="H67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$74.85</v>
      </c>
      <c r="I677" t="str">
        <f>LEFT(Table2[[#This Row],[priceWithCurrency]],3)</f>
        <v xml:space="preserve">US </v>
      </c>
      <c r="K677" t="str">
        <f>IF(Table2[[#This Row],[Available]]&lt;=50, "Less Stock", "Required stock" )</f>
        <v>Less Stock</v>
      </c>
      <c r="L677">
        <f t="shared" si="10"/>
        <v>35</v>
      </c>
      <c r="M677" t="s">
        <v>1615</v>
      </c>
      <c r="N677">
        <v>2</v>
      </c>
      <c r="P677" t="str">
        <f>RIGHT(RIGHT(Table2[[#This Row],[last Updated]],12),4)</f>
        <v/>
      </c>
      <c r="Q677" t="s">
        <v>2097</v>
      </c>
    </row>
    <row r="678" spans="1:17" x14ac:dyDescent="0.25">
      <c r="A678" t="s">
        <v>90</v>
      </c>
      <c r="B678" t="str">
        <f>UPPER(Table2[[#This Row],[Brand]])</f>
        <v>ARMAF</v>
      </c>
      <c r="C678" t="str">
        <f>LOWER(Table2[[#This Row],[Brand]])</f>
        <v>armaf</v>
      </c>
      <c r="D678" t="str">
        <f>PROPER(Table2[[#This Row],[Brand]])</f>
        <v>Armaf</v>
      </c>
      <c r="E678" t="s">
        <v>15</v>
      </c>
      <c r="F678">
        <v>28.95</v>
      </c>
      <c r="G678" t="s">
        <v>2098</v>
      </c>
      <c r="H67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$28.95</v>
      </c>
      <c r="I678" t="str">
        <f>LEFT(Table2[[#This Row],[priceWithCurrency]],3)</f>
        <v xml:space="preserve">US </v>
      </c>
      <c r="J678">
        <v>10</v>
      </c>
      <c r="K678" t="str">
        <f>IF(Table2[[#This Row],[Available]]&lt;=50, "Less Stock", "Required stock" )</f>
        <v>Less Stock</v>
      </c>
      <c r="L678">
        <f t="shared" si="10"/>
        <v>1819.4400000000005</v>
      </c>
      <c r="M678" t="s">
        <v>2099</v>
      </c>
      <c r="N678">
        <v>1306</v>
      </c>
      <c r="O678" t="s">
        <v>2100</v>
      </c>
      <c r="P678" t="str">
        <f>RIGHT(RIGHT(Table2[[#This Row],[last Updated]],12),4)</f>
        <v xml:space="preserve"> PDT</v>
      </c>
      <c r="Q678" t="s">
        <v>36</v>
      </c>
    </row>
    <row r="679" spans="1:17" x14ac:dyDescent="0.25">
      <c r="A679" t="s">
        <v>2101</v>
      </c>
      <c r="B679" t="str">
        <f>UPPER(Table2[[#This Row],[Brand]])</f>
        <v>LAPIDUS</v>
      </c>
      <c r="C679" t="str">
        <f>LOWER(Table2[[#This Row],[Brand]])</f>
        <v>lapidus</v>
      </c>
      <c r="D679" t="str">
        <f>PROPER(Table2[[#This Row],[Brand]])</f>
        <v>Lapidus</v>
      </c>
      <c r="E679" t="s">
        <v>15</v>
      </c>
      <c r="F679">
        <v>20.25</v>
      </c>
      <c r="G679" t="s">
        <v>1587</v>
      </c>
      <c r="H67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$20.25</v>
      </c>
      <c r="I679" t="str">
        <f>LEFT(Table2[[#This Row],[priceWithCurrency]],3)</f>
        <v xml:space="preserve">US </v>
      </c>
      <c r="J679">
        <v>10</v>
      </c>
      <c r="K679" t="str">
        <f>IF(Table2[[#This Row],[Available]]&lt;=50, "Less Stock", "Required stock" )</f>
        <v>Less Stock</v>
      </c>
      <c r="L679">
        <f t="shared" si="10"/>
        <v>1169.8699999999999</v>
      </c>
      <c r="M679" t="s">
        <v>2102</v>
      </c>
      <c r="N679">
        <v>24</v>
      </c>
      <c r="O679" t="s">
        <v>2103</v>
      </c>
      <c r="P679" t="str">
        <f>RIGHT(RIGHT(Table2[[#This Row],[last Updated]],12),4)</f>
        <v xml:space="preserve"> PDT</v>
      </c>
      <c r="Q679" t="s">
        <v>480</v>
      </c>
    </row>
    <row r="680" spans="1:17" x14ac:dyDescent="0.25">
      <c r="A680" t="s">
        <v>2104</v>
      </c>
      <c r="B680" t="str">
        <f>UPPER(Table2[[#This Row],[Brand]])</f>
        <v>MARY KAY</v>
      </c>
      <c r="C680" t="str">
        <f>LOWER(Table2[[#This Row],[Brand]])</f>
        <v>mary kay</v>
      </c>
      <c r="D680" t="str">
        <f>PROPER(Table2[[#This Row],[Brand]])</f>
        <v>Mary Kay</v>
      </c>
      <c r="E680" t="s">
        <v>374</v>
      </c>
      <c r="F680">
        <v>30</v>
      </c>
      <c r="G680" t="s">
        <v>2105</v>
      </c>
      <c r="H68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$30.00</v>
      </c>
      <c r="I680" t="str">
        <f>LEFT(Table2[[#This Row],[priceWithCurrency]],3)</f>
        <v xml:space="preserve">US </v>
      </c>
      <c r="J680">
        <v>2</v>
      </c>
      <c r="K680" t="str">
        <f>IF(Table2[[#This Row],[Available]]&lt;=50, "Less Stock", "Required stock" )</f>
        <v>Less Stock</v>
      </c>
      <c r="L680">
        <f t="shared" si="10"/>
        <v>1605.4700000000003</v>
      </c>
      <c r="M680" t="s">
        <v>648</v>
      </c>
      <c r="N680">
        <v>24</v>
      </c>
      <c r="O680" t="s">
        <v>2106</v>
      </c>
      <c r="P680" t="str">
        <f>RIGHT(RIGHT(Table2[[#This Row],[last Updated]],12),4)</f>
        <v xml:space="preserve"> PDT</v>
      </c>
      <c r="Q680" t="s">
        <v>2107</v>
      </c>
    </row>
    <row r="681" spans="1:17" x14ac:dyDescent="0.25">
      <c r="A681" t="s">
        <v>162</v>
      </c>
      <c r="B681" t="str">
        <f>UPPER(Table2[[#This Row],[Brand]])</f>
        <v>GUY LAROCHE</v>
      </c>
      <c r="C681" t="str">
        <f>LOWER(Table2[[#This Row],[Brand]])</f>
        <v>guy laroche</v>
      </c>
      <c r="D681" t="str">
        <f>PROPER(Table2[[#This Row],[Brand]])</f>
        <v>Guy Laroche</v>
      </c>
      <c r="E681" t="s">
        <v>15</v>
      </c>
      <c r="F681">
        <v>18.91</v>
      </c>
      <c r="G681" t="s">
        <v>2108</v>
      </c>
      <c r="H68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$18.91</v>
      </c>
      <c r="I681" t="str">
        <f>LEFT(Table2[[#This Row],[priceWithCurrency]],3)</f>
        <v xml:space="preserve">US </v>
      </c>
      <c r="J681">
        <v>10</v>
      </c>
      <c r="K681" t="str">
        <f>IF(Table2[[#This Row],[Available]]&lt;=50, "Less Stock", "Required stock" )</f>
        <v>Less Stock</v>
      </c>
      <c r="L681">
        <f t="shared" si="10"/>
        <v>1605.4700000000003</v>
      </c>
      <c r="M681" t="s">
        <v>2109</v>
      </c>
      <c r="N681">
        <v>5500</v>
      </c>
      <c r="O681" t="s">
        <v>2110</v>
      </c>
      <c r="P681" t="str">
        <f>RIGHT(RIGHT(Table2[[#This Row],[last Updated]],12),4)</f>
        <v xml:space="preserve"> PDT</v>
      </c>
      <c r="Q681" t="s">
        <v>108</v>
      </c>
    </row>
    <row r="682" spans="1:17" x14ac:dyDescent="0.25">
      <c r="A682" t="s">
        <v>2111</v>
      </c>
      <c r="B682" t="str">
        <f>UPPER(Table2[[#This Row],[Brand]])</f>
        <v>L’OCCITANE</v>
      </c>
      <c r="C682" t="str">
        <f>LOWER(Table2[[#This Row],[Brand]])</f>
        <v>l’occitane</v>
      </c>
      <c r="D682" t="str">
        <f>PROPER(Table2[[#This Row],[Brand]])</f>
        <v>L’Occitane</v>
      </c>
      <c r="E682" t="s">
        <v>15</v>
      </c>
      <c r="F682">
        <v>59</v>
      </c>
      <c r="G682" t="s">
        <v>2112</v>
      </c>
      <c r="H68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$59.00</v>
      </c>
      <c r="I682" t="str">
        <f>LEFT(Table2[[#This Row],[priceWithCurrency]],3)</f>
        <v xml:space="preserve">US </v>
      </c>
      <c r="J682">
        <v>5</v>
      </c>
      <c r="K682" t="str">
        <f>IF(Table2[[#This Row],[Available]]&lt;=50, "Less Stock", "Required stock" )</f>
        <v>Less Stock</v>
      </c>
      <c r="L682">
        <f t="shared" si="10"/>
        <v>1221.3599999999999</v>
      </c>
      <c r="M682" t="s">
        <v>955</v>
      </c>
      <c r="N682">
        <v>4</v>
      </c>
      <c r="O682" t="s">
        <v>2113</v>
      </c>
      <c r="P682" t="str">
        <f>RIGHT(RIGHT(Table2[[#This Row],[last Updated]],12),4)</f>
        <v xml:space="preserve"> PDT</v>
      </c>
      <c r="Q682" t="s">
        <v>1379</v>
      </c>
    </row>
    <row r="683" spans="1:17" x14ac:dyDescent="0.25">
      <c r="A683" t="s">
        <v>20</v>
      </c>
      <c r="B683" t="str">
        <f>UPPER(Table2[[#This Row],[Brand]])</f>
        <v>GIORGIO ARMANI</v>
      </c>
      <c r="C683" t="str">
        <f>LOWER(Table2[[#This Row],[Brand]])</f>
        <v>giorgio armani</v>
      </c>
      <c r="D683" t="str">
        <f>PROPER(Table2[[#This Row],[Brand]])</f>
        <v>Giorgio Armani</v>
      </c>
      <c r="E683" t="s">
        <v>4</v>
      </c>
      <c r="F683">
        <v>192</v>
      </c>
      <c r="G683" t="s">
        <v>2114</v>
      </c>
      <c r="H68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$192.00</v>
      </c>
      <c r="I683" t="str">
        <f>LEFT(Table2[[#This Row],[priceWithCurrency]],3)</f>
        <v xml:space="preserve">US </v>
      </c>
      <c r="J683">
        <v>7</v>
      </c>
      <c r="K683" t="str">
        <f>IF(Table2[[#This Row],[Available]]&lt;=50, "Less Stock", "Required stock" )</f>
        <v>Less Stock</v>
      </c>
      <c r="L683">
        <f t="shared" si="10"/>
        <v>1261.31</v>
      </c>
      <c r="M683" t="s">
        <v>2115</v>
      </c>
      <c r="N683">
        <v>37</v>
      </c>
      <c r="O683" t="s">
        <v>2116</v>
      </c>
      <c r="P683" t="str">
        <f>RIGHT(RIGHT(Table2[[#This Row],[last Updated]],12),4)</f>
        <v xml:space="preserve"> PDT</v>
      </c>
      <c r="Q683" t="s">
        <v>2117</v>
      </c>
    </row>
    <row r="684" spans="1:17" x14ac:dyDescent="0.25">
      <c r="A684" t="s">
        <v>2088</v>
      </c>
      <c r="B684" t="str">
        <f>UPPER(Table2[[#This Row],[Brand]])</f>
        <v>JIMMY CHOO</v>
      </c>
      <c r="C684" t="str">
        <f>LOWER(Table2[[#This Row],[Brand]])</f>
        <v>jimmy choo</v>
      </c>
      <c r="D684" t="str">
        <f>PROPER(Table2[[#This Row],[Brand]])</f>
        <v>Jimmy Choo</v>
      </c>
      <c r="E684" t="s">
        <v>15</v>
      </c>
      <c r="F684">
        <v>24.43</v>
      </c>
      <c r="G684" t="s">
        <v>284</v>
      </c>
      <c r="H68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$24.43</v>
      </c>
      <c r="I684" t="str">
        <f>LEFT(Table2[[#This Row],[priceWithCurrency]],3)</f>
        <v xml:space="preserve">US </v>
      </c>
      <c r="J684">
        <v>3</v>
      </c>
      <c r="K684" t="str">
        <f>IF(Table2[[#This Row],[Available]]&lt;=50, "Less Stock", "Required stock" )</f>
        <v>Less Stock</v>
      </c>
      <c r="L684">
        <f t="shared" si="10"/>
        <v>1181.3200000000002</v>
      </c>
      <c r="M684" t="s">
        <v>781</v>
      </c>
      <c r="N684">
        <v>4</v>
      </c>
      <c r="O684" t="s">
        <v>2118</v>
      </c>
      <c r="P684" t="str">
        <f>RIGHT(RIGHT(Table2[[#This Row],[last Updated]],12),4)</f>
        <v xml:space="preserve"> PDT</v>
      </c>
      <c r="Q684" t="s">
        <v>30</v>
      </c>
    </row>
    <row r="685" spans="1:17" x14ac:dyDescent="0.25">
      <c r="A685" t="s">
        <v>2119</v>
      </c>
      <c r="B685" t="str">
        <f>UPPER(Table2[[#This Row],[Brand]])</f>
        <v>HAVE A SCENT</v>
      </c>
      <c r="C685" t="str">
        <f>LOWER(Table2[[#This Row],[Brand]])</f>
        <v>have a scent</v>
      </c>
      <c r="D685" t="str">
        <f>PROPER(Table2[[#This Row],[Brand]])</f>
        <v>Have A Scent</v>
      </c>
      <c r="E685" t="s">
        <v>2120</v>
      </c>
      <c r="F685">
        <v>9.99</v>
      </c>
      <c r="G685" t="s">
        <v>1773</v>
      </c>
      <c r="H68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$9.99</v>
      </c>
      <c r="I685" t="str">
        <f>LEFT(Table2[[#This Row],[priceWithCurrency]],3)</f>
        <v xml:space="preserve">US </v>
      </c>
      <c r="J685">
        <v>10</v>
      </c>
      <c r="K685" t="str">
        <f>IF(Table2[[#This Row],[Available]]&lt;=50, "Less Stock", "Required stock" )</f>
        <v>Less Stock</v>
      </c>
      <c r="L685">
        <f t="shared" si="10"/>
        <v>1560.6399999999999</v>
      </c>
      <c r="M685" t="s">
        <v>2121</v>
      </c>
      <c r="N685">
        <v>94</v>
      </c>
      <c r="O685" t="s">
        <v>2122</v>
      </c>
      <c r="P685" t="str">
        <f>RIGHT(RIGHT(Table2[[#This Row],[last Updated]],12),4)</f>
        <v xml:space="preserve"> PDT</v>
      </c>
      <c r="Q685" t="s">
        <v>1503</v>
      </c>
    </row>
    <row r="686" spans="1:17" x14ac:dyDescent="0.25">
      <c r="A686" t="s">
        <v>270</v>
      </c>
      <c r="B686" t="str">
        <f>UPPER(Table2[[#This Row],[Brand]])</f>
        <v>YVES SAINT LAURENT</v>
      </c>
      <c r="C686" t="str">
        <f>LOWER(Table2[[#This Row],[Brand]])</f>
        <v>yves saint laurent</v>
      </c>
      <c r="D686" t="str">
        <f>PROPER(Table2[[#This Row],[Brand]])</f>
        <v>Yves Saint Laurent</v>
      </c>
      <c r="E686" t="s">
        <v>4</v>
      </c>
      <c r="F686">
        <v>15.99</v>
      </c>
      <c r="G686" t="s">
        <v>1003</v>
      </c>
      <c r="H68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$15.99</v>
      </c>
      <c r="I686" t="str">
        <f>LEFT(Table2[[#This Row],[priceWithCurrency]],3)</f>
        <v xml:space="preserve">US </v>
      </c>
      <c r="J686">
        <v>6</v>
      </c>
      <c r="K686" t="str">
        <f>IF(Table2[[#This Row],[Available]]&lt;=50, "Less Stock", "Required stock" )</f>
        <v>Less Stock</v>
      </c>
      <c r="L686">
        <f t="shared" si="10"/>
        <v>1181.3200000000002</v>
      </c>
      <c r="M686" t="s">
        <v>2123</v>
      </c>
      <c r="N686">
        <v>91</v>
      </c>
      <c r="O686" t="s">
        <v>2124</v>
      </c>
      <c r="P686" t="str">
        <f>RIGHT(RIGHT(Table2[[#This Row],[last Updated]],12),4)</f>
        <v xml:space="preserve"> PDT</v>
      </c>
      <c r="Q686" t="s">
        <v>480</v>
      </c>
    </row>
    <row r="687" spans="1:17" x14ac:dyDescent="0.25">
      <c r="A687" t="s">
        <v>95</v>
      </c>
      <c r="B687" t="str">
        <f>UPPER(Table2[[#This Row],[Brand]])</f>
        <v>CAROLINA HERRERA</v>
      </c>
      <c r="C687" t="str">
        <f>LOWER(Table2[[#This Row],[Brand]])</f>
        <v>carolina herrera</v>
      </c>
      <c r="D687" t="str">
        <f>PROPER(Table2[[#This Row],[Brand]])</f>
        <v>Carolina Herrera</v>
      </c>
      <c r="E687" t="s">
        <v>15</v>
      </c>
      <c r="F687">
        <v>40.590000000000003</v>
      </c>
      <c r="G687" t="s">
        <v>2125</v>
      </c>
      <c r="H68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$40.59</v>
      </c>
      <c r="I687" t="str">
        <f>LEFT(Table2[[#This Row],[priceWithCurrency]],3)</f>
        <v xml:space="preserve">US </v>
      </c>
      <c r="J687">
        <v>53</v>
      </c>
      <c r="K687" t="str">
        <f>IF(Table2[[#This Row],[Available]]&lt;=50, "Less Stock", "Required stock" )</f>
        <v>Required stock</v>
      </c>
      <c r="L687">
        <f t="shared" si="10"/>
        <v>12.6</v>
      </c>
      <c r="M687" t="s">
        <v>2126</v>
      </c>
      <c r="N687">
        <v>2934</v>
      </c>
      <c r="O687" t="s">
        <v>2127</v>
      </c>
      <c r="P687" t="str">
        <f>RIGHT(RIGHT(Table2[[#This Row],[last Updated]],12),4)</f>
        <v xml:space="preserve"> PDT</v>
      </c>
      <c r="Q687" t="s">
        <v>121</v>
      </c>
    </row>
    <row r="688" spans="1:17" x14ac:dyDescent="0.25">
      <c r="A688" t="s">
        <v>835</v>
      </c>
      <c r="B688" t="str">
        <f>UPPER(Table2[[#This Row],[Brand]])</f>
        <v>CHANEL</v>
      </c>
      <c r="C688" t="str">
        <f>LOWER(Table2[[#This Row],[Brand]])</f>
        <v>chanel</v>
      </c>
      <c r="D688" t="str">
        <f>PROPER(Table2[[#This Row],[Brand]])</f>
        <v>Chanel</v>
      </c>
      <c r="E688" t="s">
        <v>15</v>
      </c>
      <c r="F688">
        <v>89.97</v>
      </c>
      <c r="G688" t="s">
        <v>2128</v>
      </c>
      <c r="H68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$89.97</v>
      </c>
      <c r="I688" t="str">
        <f>LEFT(Table2[[#This Row],[priceWithCurrency]],3)</f>
        <v xml:space="preserve">US </v>
      </c>
      <c r="K688" t="str">
        <f>IF(Table2[[#This Row],[Available]]&lt;=50, "Less Stock", "Required stock" )</f>
        <v>Less Stock</v>
      </c>
      <c r="L688">
        <f t="shared" si="10"/>
        <v>1145.33</v>
      </c>
      <c r="P688" t="str">
        <f>RIGHT(RIGHT(Table2[[#This Row],[last Updated]],12),4)</f>
        <v/>
      </c>
      <c r="Q688" t="s">
        <v>2129</v>
      </c>
    </row>
    <row r="689" spans="1:17" x14ac:dyDescent="0.25">
      <c r="A689" t="s">
        <v>20</v>
      </c>
      <c r="B689" t="str">
        <f>UPPER(Table2[[#This Row],[Brand]])</f>
        <v>GIORGIO ARMANI</v>
      </c>
      <c r="C689" t="str">
        <f>LOWER(Table2[[#This Row],[Brand]])</f>
        <v>giorgio armani</v>
      </c>
      <c r="D689" t="str">
        <f>PROPER(Table2[[#This Row],[Brand]])</f>
        <v>Giorgio Armani</v>
      </c>
      <c r="E689" t="s">
        <v>15</v>
      </c>
      <c r="F689">
        <v>44.99</v>
      </c>
      <c r="G689" t="s">
        <v>21</v>
      </c>
      <c r="H68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$44.99</v>
      </c>
      <c r="I689" t="str">
        <f>LEFT(Table2[[#This Row],[priceWithCurrency]],3)</f>
        <v xml:space="preserve">US </v>
      </c>
      <c r="J689">
        <v>9</v>
      </c>
      <c r="K689" t="str">
        <f>IF(Table2[[#This Row],[Available]]&lt;=50, "Less Stock", "Required stock" )</f>
        <v>Less Stock</v>
      </c>
      <c r="L689">
        <f t="shared" si="10"/>
        <v>1540.05</v>
      </c>
      <c r="M689" t="s">
        <v>2130</v>
      </c>
      <c r="N689">
        <v>19</v>
      </c>
      <c r="O689" t="s">
        <v>2131</v>
      </c>
      <c r="P689" t="str">
        <f>RIGHT(RIGHT(Table2[[#This Row],[last Updated]],12),4)</f>
        <v xml:space="preserve"> PDT</v>
      </c>
      <c r="Q689" t="s">
        <v>65</v>
      </c>
    </row>
    <row r="690" spans="1:17" x14ac:dyDescent="0.25">
      <c r="A690" t="s">
        <v>66</v>
      </c>
      <c r="B690" t="str">
        <f>UPPER(Table2[[#This Row],[Brand]])</f>
        <v>SECERTMU</v>
      </c>
      <c r="C690" t="str">
        <f>LOWER(Table2[[#This Row],[Brand]])</f>
        <v>secertmu</v>
      </c>
      <c r="D690" t="str">
        <f>PROPER(Table2[[#This Row],[Brand]])</f>
        <v>Secertmu</v>
      </c>
      <c r="E690" t="s">
        <v>32</v>
      </c>
      <c r="F690">
        <v>6.96</v>
      </c>
      <c r="G690" t="s">
        <v>2132</v>
      </c>
      <c r="H69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$6.96</v>
      </c>
      <c r="I690" t="str">
        <f>LEFT(Table2[[#This Row],[priceWithCurrency]],3)</f>
        <v xml:space="preserve">US </v>
      </c>
      <c r="J690">
        <v>10</v>
      </c>
      <c r="K690" t="str">
        <f>IF(Table2[[#This Row],[Available]]&lt;=50, "Less Stock", "Required stock" )</f>
        <v>Less Stock</v>
      </c>
      <c r="L690">
        <f t="shared" si="10"/>
        <v>1492.06</v>
      </c>
      <c r="M690" t="s">
        <v>2133</v>
      </c>
      <c r="N690">
        <v>102</v>
      </c>
      <c r="O690" t="s">
        <v>2134</v>
      </c>
      <c r="P690" t="str">
        <f>RIGHT(RIGHT(Table2[[#This Row],[last Updated]],12),4)</f>
        <v xml:space="preserve"> PDT</v>
      </c>
      <c r="Q690" t="s">
        <v>70</v>
      </c>
    </row>
    <row r="691" spans="1:17" x14ac:dyDescent="0.25">
      <c r="A691" t="s">
        <v>623</v>
      </c>
      <c r="B691" t="str">
        <f>UPPER(Table2[[#This Row],[Brand]])</f>
        <v>J. DEL POZO</v>
      </c>
      <c r="C691" t="str">
        <f>LOWER(Table2[[#This Row],[Brand]])</f>
        <v>j. del pozo</v>
      </c>
      <c r="D691" t="str">
        <f>PROPER(Table2[[#This Row],[Brand]])</f>
        <v>J. Del Pozo</v>
      </c>
      <c r="E691" t="s">
        <v>15</v>
      </c>
      <c r="F691">
        <v>37.979999999999997</v>
      </c>
      <c r="G691" t="s">
        <v>2135</v>
      </c>
      <c r="H69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$37.98</v>
      </c>
      <c r="I691" t="str">
        <f>LEFT(Table2[[#This Row],[priceWithCurrency]],3)</f>
        <v xml:space="preserve">US </v>
      </c>
      <c r="J691">
        <v>10</v>
      </c>
      <c r="K691" t="str">
        <f>IF(Table2[[#This Row],[Available]]&lt;=50, "Less Stock", "Required stock" )</f>
        <v>Less Stock</v>
      </c>
      <c r="L691">
        <f t="shared" si="10"/>
        <v>1145.33</v>
      </c>
      <c r="M691" t="s">
        <v>2136</v>
      </c>
      <c r="N691">
        <v>612</v>
      </c>
      <c r="O691" t="s">
        <v>2137</v>
      </c>
      <c r="P691" t="str">
        <f>RIGHT(RIGHT(Table2[[#This Row],[last Updated]],12),4)</f>
        <v xml:space="preserve"> PDT</v>
      </c>
      <c r="Q691" t="s">
        <v>108</v>
      </c>
    </row>
    <row r="692" spans="1:17" x14ac:dyDescent="0.25">
      <c r="A692" t="s">
        <v>789</v>
      </c>
      <c r="B692" t="str">
        <f>UPPER(Table2[[#This Row],[Brand]])</f>
        <v>LOUIS VUITTON</v>
      </c>
      <c r="C692" t="str">
        <f>LOWER(Table2[[#This Row],[Brand]])</f>
        <v>louis vuitton</v>
      </c>
      <c r="D692" t="str">
        <f>PROPER(Table2[[#This Row],[Brand]])</f>
        <v>Louis Vuitton</v>
      </c>
      <c r="E692" t="s">
        <v>4</v>
      </c>
      <c r="F692">
        <v>18.95</v>
      </c>
      <c r="G692" t="s">
        <v>2138</v>
      </c>
      <c r="H69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$18.95</v>
      </c>
      <c r="I692" t="str">
        <f>LEFT(Table2[[#This Row],[priceWithCurrency]],3)</f>
        <v xml:space="preserve">US </v>
      </c>
      <c r="J692">
        <v>10</v>
      </c>
      <c r="K692" t="str">
        <f>IF(Table2[[#This Row],[Available]]&lt;=50, "Less Stock", "Required stock" )</f>
        <v>Less Stock</v>
      </c>
      <c r="L692">
        <f t="shared" si="10"/>
        <v>1175.32</v>
      </c>
      <c r="M692" t="s">
        <v>2139</v>
      </c>
      <c r="N692">
        <v>624</v>
      </c>
      <c r="O692" t="s">
        <v>2140</v>
      </c>
      <c r="P692" t="str">
        <f>RIGHT(RIGHT(Table2[[#This Row],[last Updated]],12),4)</f>
        <v xml:space="preserve"> PDT</v>
      </c>
      <c r="Q692" t="s">
        <v>793</v>
      </c>
    </row>
    <row r="693" spans="1:17" x14ac:dyDescent="0.25">
      <c r="A693" t="s">
        <v>1419</v>
      </c>
      <c r="B693" t="str">
        <f>UPPER(Table2[[#This Row],[Brand]])</f>
        <v>AVON</v>
      </c>
      <c r="C693" t="str">
        <f>LOWER(Table2[[#This Row],[Brand]])</f>
        <v>avon</v>
      </c>
      <c r="D693" t="str">
        <f>PROPER(Table2[[#This Row],[Brand]])</f>
        <v>Avon</v>
      </c>
      <c r="E693" t="s">
        <v>15</v>
      </c>
      <c r="F693">
        <v>19.989999999999998</v>
      </c>
      <c r="G693" t="s">
        <v>1113</v>
      </c>
      <c r="H69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$19.99</v>
      </c>
      <c r="I693" t="str">
        <f>LEFT(Table2[[#This Row],[priceWithCurrency]],3)</f>
        <v xml:space="preserve">US </v>
      </c>
      <c r="J693">
        <v>10</v>
      </c>
      <c r="K693" t="str">
        <f>IF(Table2[[#This Row],[Available]]&lt;=50, "Less Stock", "Required stock" )</f>
        <v>Less Stock</v>
      </c>
      <c r="L693">
        <f t="shared" si="10"/>
        <v>1162.3300000000002</v>
      </c>
      <c r="M693" t="s">
        <v>889</v>
      </c>
      <c r="N693">
        <v>26</v>
      </c>
      <c r="O693" t="s">
        <v>2141</v>
      </c>
      <c r="P693" t="str">
        <f>RIGHT(RIGHT(Table2[[#This Row],[last Updated]],12),4)</f>
        <v xml:space="preserve"> PDT</v>
      </c>
      <c r="Q693" t="s">
        <v>2142</v>
      </c>
    </row>
    <row r="694" spans="1:17" x14ac:dyDescent="0.25">
      <c r="A694" t="s">
        <v>76</v>
      </c>
      <c r="B694" t="str">
        <f>UPPER(Table2[[#This Row],[Brand]])</f>
        <v>VERSACE</v>
      </c>
      <c r="C694" t="str">
        <f>LOWER(Table2[[#This Row],[Brand]])</f>
        <v>versace</v>
      </c>
      <c r="D694" t="str">
        <f>PROPER(Table2[[#This Row],[Brand]])</f>
        <v>Versace</v>
      </c>
      <c r="E694" t="s">
        <v>15</v>
      </c>
      <c r="F694">
        <v>45.99</v>
      </c>
      <c r="G694" t="s">
        <v>875</v>
      </c>
      <c r="H69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$45.99</v>
      </c>
      <c r="I694" t="str">
        <f>LEFT(Table2[[#This Row],[priceWithCurrency]],3)</f>
        <v xml:space="preserve">US </v>
      </c>
      <c r="J694">
        <v>3</v>
      </c>
      <c r="K694" t="str">
        <f>IF(Table2[[#This Row],[Available]]&lt;=50, "Less Stock", "Required stock" )</f>
        <v>Less Stock</v>
      </c>
      <c r="L694">
        <f t="shared" si="10"/>
        <v>143.75</v>
      </c>
      <c r="M694" t="s">
        <v>981</v>
      </c>
      <c r="N694">
        <v>37</v>
      </c>
      <c r="O694" t="s">
        <v>2143</v>
      </c>
      <c r="P694" t="str">
        <f>RIGHT(RIGHT(Table2[[#This Row],[last Updated]],12),4)</f>
        <v xml:space="preserve"> PDT</v>
      </c>
      <c r="Q694" t="s">
        <v>89</v>
      </c>
    </row>
    <row r="695" spans="1:17" x14ac:dyDescent="0.25">
      <c r="A695" t="s">
        <v>79</v>
      </c>
      <c r="B695" t="str">
        <f>UPPER(Table2[[#This Row],[Brand]])</f>
        <v>PACO RABANNE</v>
      </c>
      <c r="C695" t="str">
        <f>LOWER(Table2[[#This Row],[Brand]])</f>
        <v>paco rabanne</v>
      </c>
      <c r="D695" t="str">
        <f>PROPER(Table2[[#This Row],[Brand]])</f>
        <v>Paco Rabanne</v>
      </c>
      <c r="E695" t="s">
        <v>1809</v>
      </c>
      <c r="F695">
        <v>86.99</v>
      </c>
      <c r="G695" t="s">
        <v>2144</v>
      </c>
      <c r="H69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$86.99</v>
      </c>
      <c r="I695" t="str">
        <f>LEFT(Table2[[#This Row],[priceWithCurrency]],3)</f>
        <v xml:space="preserve">US </v>
      </c>
      <c r="J695">
        <v>12</v>
      </c>
      <c r="K695" t="str">
        <f>IF(Table2[[#This Row],[Available]]&lt;=50, "Less Stock", "Required stock" )</f>
        <v>Less Stock</v>
      </c>
      <c r="L695">
        <f t="shared" si="10"/>
        <v>1492.3400000000001</v>
      </c>
      <c r="M695" t="s">
        <v>2145</v>
      </c>
      <c r="N695">
        <v>28</v>
      </c>
      <c r="O695" t="s">
        <v>2146</v>
      </c>
      <c r="P695" t="str">
        <f>RIGHT(RIGHT(Table2[[#This Row],[last Updated]],12),4)</f>
        <v xml:space="preserve"> PDT</v>
      </c>
      <c r="Q695" t="s">
        <v>438</v>
      </c>
    </row>
    <row r="696" spans="1:17" x14ac:dyDescent="0.25">
      <c r="A696" t="s">
        <v>76</v>
      </c>
      <c r="B696" t="str">
        <f>UPPER(Table2[[#This Row],[Brand]])</f>
        <v>VERSACE</v>
      </c>
      <c r="C696" t="str">
        <f>LOWER(Table2[[#This Row],[Brand]])</f>
        <v>versace</v>
      </c>
      <c r="D696" t="str">
        <f>PROPER(Table2[[#This Row],[Brand]])</f>
        <v>Versace</v>
      </c>
      <c r="E696" t="s">
        <v>15</v>
      </c>
      <c r="F696">
        <v>19.73</v>
      </c>
      <c r="G696" t="s">
        <v>174</v>
      </c>
      <c r="H69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$19.73</v>
      </c>
      <c r="I696" t="str">
        <f>LEFT(Table2[[#This Row],[priceWithCurrency]],3)</f>
        <v xml:space="preserve">US </v>
      </c>
      <c r="J696">
        <v>3</v>
      </c>
      <c r="K696" t="str">
        <f>IF(Table2[[#This Row],[Available]]&lt;=50, "Less Stock", "Required stock" )</f>
        <v>Less Stock</v>
      </c>
      <c r="L696">
        <f t="shared" si="10"/>
        <v>1492.3400000000001</v>
      </c>
      <c r="M696" t="s">
        <v>1331</v>
      </c>
      <c r="N696">
        <v>7</v>
      </c>
      <c r="O696" t="s">
        <v>2147</v>
      </c>
      <c r="P696" t="str">
        <f>RIGHT(RIGHT(Table2[[#This Row],[last Updated]],12),4)</f>
        <v xml:space="preserve"> PDT</v>
      </c>
      <c r="Q696" t="s">
        <v>30</v>
      </c>
    </row>
    <row r="697" spans="1:17" x14ac:dyDescent="0.25">
      <c r="A697" t="s">
        <v>14</v>
      </c>
      <c r="B697" t="str">
        <f>UPPER(Table2[[#This Row],[Brand]])</f>
        <v>UNBRANDED</v>
      </c>
      <c r="C697" t="str">
        <f>LOWER(Table2[[#This Row],[Brand]])</f>
        <v>unbranded</v>
      </c>
      <c r="D697" t="str">
        <f>PROPER(Table2[[#This Row],[Brand]])</f>
        <v>Unbranded</v>
      </c>
      <c r="E697" t="s">
        <v>32</v>
      </c>
      <c r="F697">
        <v>13.28</v>
      </c>
      <c r="G697" t="s">
        <v>2148</v>
      </c>
      <c r="H69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$13.28</v>
      </c>
      <c r="I697" t="str">
        <f>LEFT(Table2[[#This Row],[priceWithCurrency]],3)</f>
        <v xml:space="preserve">US </v>
      </c>
      <c r="J697">
        <v>9</v>
      </c>
      <c r="K697" t="str">
        <f>IF(Table2[[#This Row],[Available]]&lt;=50, "Less Stock", "Required stock" )</f>
        <v>Less Stock</v>
      </c>
      <c r="L697">
        <f t="shared" si="10"/>
        <v>1459.3899999999999</v>
      </c>
      <c r="M697" t="s">
        <v>1684</v>
      </c>
      <c r="N697">
        <v>6</v>
      </c>
      <c r="P697" t="str">
        <f>RIGHT(RIGHT(Table2[[#This Row],[last Updated]],12),4)</f>
        <v/>
      </c>
      <c r="Q697" t="s">
        <v>2149</v>
      </c>
    </row>
    <row r="698" spans="1:17" x14ac:dyDescent="0.25">
      <c r="A698" t="s">
        <v>335</v>
      </c>
      <c r="B698" t="str">
        <f>UPPER(Table2[[#This Row],[Brand]])</f>
        <v>COLOGNE</v>
      </c>
      <c r="C698" t="str">
        <f>LOWER(Table2[[#This Row],[Brand]])</f>
        <v>cologne</v>
      </c>
      <c r="D698" t="str">
        <f>PROPER(Table2[[#This Row],[Brand]])</f>
        <v>Cologne</v>
      </c>
      <c r="E698" t="s">
        <v>374</v>
      </c>
      <c r="F698">
        <v>35</v>
      </c>
      <c r="G698" t="s">
        <v>2150</v>
      </c>
      <c r="H69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$35.00</v>
      </c>
      <c r="I698" t="str">
        <f>LEFT(Table2[[#This Row],[priceWithCurrency]],3)</f>
        <v xml:space="preserve">US </v>
      </c>
      <c r="J698">
        <v>2</v>
      </c>
      <c r="K698" t="str">
        <f>IF(Table2[[#This Row],[Available]]&lt;=50, "Less Stock", "Required stock" )</f>
        <v>Less Stock</v>
      </c>
      <c r="L698">
        <f t="shared" si="10"/>
        <v>1483.58</v>
      </c>
      <c r="M698" t="s">
        <v>1663</v>
      </c>
      <c r="N698">
        <v>8</v>
      </c>
      <c r="P698" t="str">
        <f>RIGHT(RIGHT(Table2[[#This Row],[last Updated]],12),4)</f>
        <v/>
      </c>
      <c r="Q698" t="s">
        <v>2151</v>
      </c>
    </row>
    <row r="699" spans="1:17" x14ac:dyDescent="0.25">
      <c r="A699" t="s">
        <v>14</v>
      </c>
      <c r="B699" t="str">
        <f>UPPER(Table2[[#This Row],[Brand]])</f>
        <v>UNBRANDED</v>
      </c>
      <c r="C699" t="str">
        <f>LOWER(Table2[[#This Row],[Brand]])</f>
        <v>unbranded</v>
      </c>
      <c r="D699" t="str">
        <f>PROPER(Table2[[#This Row],[Brand]])</f>
        <v>Unbranded</v>
      </c>
      <c r="E699" t="s">
        <v>32</v>
      </c>
      <c r="F699">
        <v>16.989999999999998</v>
      </c>
      <c r="G699" t="s">
        <v>2021</v>
      </c>
      <c r="H69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$16.99</v>
      </c>
      <c r="I699" t="str">
        <f>LEFT(Table2[[#This Row],[priceWithCurrency]],3)</f>
        <v xml:space="preserve">US </v>
      </c>
      <c r="J699">
        <v>10</v>
      </c>
      <c r="K699" t="str">
        <f>IF(Table2[[#This Row],[Available]]&lt;=50, "Less Stock", "Required stock" )</f>
        <v>Less Stock</v>
      </c>
      <c r="L699">
        <f t="shared" si="10"/>
        <v>1506.59</v>
      </c>
      <c r="M699" t="s">
        <v>2152</v>
      </c>
      <c r="N699">
        <v>84</v>
      </c>
      <c r="O699" t="s">
        <v>2153</v>
      </c>
      <c r="P699" t="str">
        <f>RIGHT(RIGHT(Table2[[#This Row],[last Updated]],12),4)</f>
        <v xml:space="preserve"> PDT</v>
      </c>
      <c r="Q699" t="s">
        <v>2154</v>
      </c>
    </row>
    <row r="700" spans="1:17" x14ac:dyDescent="0.25">
      <c r="A700" t="s">
        <v>586</v>
      </c>
      <c r="B700" t="str">
        <f>UPPER(Table2[[#This Row],[Brand]])</f>
        <v>PARFUMS DE MARLY</v>
      </c>
      <c r="C700" t="str">
        <f>LOWER(Table2[[#This Row],[Brand]])</f>
        <v>parfums de marly</v>
      </c>
      <c r="D700" t="str">
        <f>PROPER(Table2[[#This Row],[Brand]])</f>
        <v>Parfums De Marly</v>
      </c>
      <c r="E700" t="s">
        <v>4</v>
      </c>
      <c r="F700">
        <v>34.99</v>
      </c>
      <c r="G700" t="s">
        <v>57</v>
      </c>
      <c r="H70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$34.99</v>
      </c>
      <c r="I700" t="str">
        <f>LEFT(Table2[[#This Row],[priceWithCurrency]],3)</f>
        <v xml:space="preserve">US </v>
      </c>
      <c r="J700">
        <v>8</v>
      </c>
      <c r="K700" t="str">
        <f>IF(Table2[[#This Row],[Available]]&lt;=50, "Less Stock", "Required stock" )</f>
        <v>Less Stock</v>
      </c>
      <c r="L700">
        <f t="shared" si="10"/>
        <v>1506.59</v>
      </c>
      <c r="M700" t="s">
        <v>2155</v>
      </c>
      <c r="N700">
        <v>19</v>
      </c>
      <c r="O700" t="s">
        <v>2156</v>
      </c>
      <c r="P700" t="str">
        <f>RIGHT(RIGHT(Table2[[#This Row],[last Updated]],12),4)</f>
        <v xml:space="preserve"> PDT</v>
      </c>
      <c r="Q700" t="s">
        <v>30</v>
      </c>
    </row>
    <row r="701" spans="1:17" x14ac:dyDescent="0.25">
      <c r="A701" t="s">
        <v>650</v>
      </c>
      <c r="B701" t="str">
        <f>UPPER(Table2[[#This Row],[Brand]])</f>
        <v>JAGUAR</v>
      </c>
      <c r="C701" t="str">
        <f>LOWER(Table2[[#This Row],[Brand]])</f>
        <v>jaguar</v>
      </c>
      <c r="D701" t="str">
        <f>PROPER(Table2[[#This Row],[Brand]])</f>
        <v>Jaguar</v>
      </c>
      <c r="E701" t="s">
        <v>26</v>
      </c>
      <c r="F701">
        <v>13.15</v>
      </c>
      <c r="G701" t="s">
        <v>2157</v>
      </c>
      <c r="H70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$13.15</v>
      </c>
      <c r="I701" t="str">
        <f>LEFT(Table2[[#This Row],[priceWithCurrency]],3)</f>
        <v xml:space="preserve">US </v>
      </c>
      <c r="J701">
        <v>3</v>
      </c>
      <c r="K701" t="str">
        <f>IF(Table2[[#This Row],[Available]]&lt;=50, "Less Stock", "Required stock" )</f>
        <v>Less Stock</v>
      </c>
      <c r="L701">
        <f t="shared" si="10"/>
        <v>255.01</v>
      </c>
      <c r="M701" t="s">
        <v>1331</v>
      </c>
      <c r="N701">
        <v>7</v>
      </c>
      <c r="O701" t="s">
        <v>2158</v>
      </c>
      <c r="P701" t="str">
        <f>RIGHT(RIGHT(Table2[[#This Row],[last Updated]],12),4)</f>
        <v xml:space="preserve"> PDT</v>
      </c>
      <c r="Q701" t="s">
        <v>30</v>
      </c>
    </row>
    <row r="702" spans="1:17" x14ac:dyDescent="0.25">
      <c r="A702" t="s">
        <v>79</v>
      </c>
      <c r="B702" t="str">
        <f>UPPER(Table2[[#This Row],[Brand]])</f>
        <v>PACO RABANNE</v>
      </c>
      <c r="C702" t="str">
        <f>LOWER(Table2[[#This Row],[Brand]])</f>
        <v>paco rabanne</v>
      </c>
      <c r="D702" t="str">
        <f>PROPER(Table2[[#This Row],[Brand]])</f>
        <v>Paco Rabanne</v>
      </c>
      <c r="E702" t="s">
        <v>4</v>
      </c>
      <c r="F702">
        <v>64.989999999999995</v>
      </c>
      <c r="G702" t="s">
        <v>1624</v>
      </c>
      <c r="H70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$64.99</v>
      </c>
      <c r="I702" t="str">
        <f>LEFT(Table2[[#This Row],[priceWithCurrency]],3)</f>
        <v xml:space="preserve">US </v>
      </c>
      <c r="J702">
        <v>10</v>
      </c>
      <c r="K702" t="str">
        <f>IF(Table2[[#This Row],[Available]]&lt;=50, "Less Stock", "Required stock" )</f>
        <v>Less Stock</v>
      </c>
      <c r="L702">
        <f t="shared" si="10"/>
        <v>36.67</v>
      </c>
      <c r="M702" t="s">
        <v>2159</v>
      </c>
      <c r="N702">
        <v>118</v>
      </c>
      <c r="O702" t="s">
        <v>2160</v>
      </c>
      <c r="P702" t="str">
        <f>RIGHT(RIGHT(Table2[[#This Row],[last Updated]],12),4)</f>
        <v xml:space="preserve"> PDT</v>
      </c>
      <c r="Q702" t="s">
        <v>131</v>
      </c>
    </row>
    <row r="703" spans="1:17" x14ac:dyDescent="0.25">
      <c r="A703" t="s">
        <v>835</v>
      </c>
      <c r="B703" t="str">
        <f>UPPER(Table2[[#This Row],[Brand]])</f>
        <v>CHANEL</v>
      </c>
      <c r="C703" t="str">
        <f>LOWER(Table2[[#This Row],[Brand]])</f>
        <v>chanel</v>
      </c>
      <c r="D703" t="str">
        <f>PROPER(Table2[[#This Row],[Brand]])</f>
        <v>Chanel</v>
      </c>
      <c r="E703" t="s">
        <v>127</v>
      </c>
      <c r="F703">
        <v>11.5</v>
      </c>
      <c r="G703" t="s">
        <v>2161</v>
      </c>
      <c r="H70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$11.50</v>
      </c>
      <c r="I703" t="str">
        <f>LEFT(Table2[[#This Row],[priceWithCurrency]],3)</f>
        <v xml:space="preserve">US </v>
      </c>
      <c r="J703">
        <v>2</v>
      </c>
      <c r="K703" t="str">
        <f>IF(Table2[[#This Row],[Available]]&lt;=50, "Less Stock", "Required stock" )</f>
        <v>Less Stock</v>
      </c>
      <c r="L703">
        <f t="shared" si="10"/>
        <v>10.67</v>
      </c>
      <c r="M703" t="s">
        <v>2162</v>
      </c>
      <c r="N703">
        <v>12</v>
      </c>
      <c r="O703" t="s">
        <v>2163</v>
      </c>
      <c r="P703" t="str">
        <f>RIGHT(RIGHT(Table2[[#This Row],[last Updated]],12),4)</f>
        <v xml:space="preserve"> PDT</v>
      </c>
      <c r="Q703" t="s">
        <v>2164</v>
      </c>
    </row>
    <row r="704" spans="1:17" x14ac:dyDescent="0.25">
      <c r="A704" t="s">
        <v>504</v>
      </c>
      <c r="B704" t="str">
        <f>UPPER(Table2[[#This Row],[Brand]])</f>
        <v>BURBERRY</v>
      </c>
      <c r="C704" t="str">
        <f>LOWER(Table2[[#This Row],[Brand]])</f>
        <v>burberry</v>
      </c>
      <c r="D704" t="str">
        <f>PROPER(Table2[[#This Row],[Brand]])</f>
        <v>Burberry</v>
      </c>
      <c r="E704" t="s">
        <v>15</v>
      </c>
      <c r="F704">
        <v>28.99</v>
      </c>
      <c r="G704" t="s">
        <v>597</v>
      </c>
      <c r="H70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$28.99</v>
      </c>
      <c r="I704" t="str">
        <f>LEFT(Table2[[#This Row],[priceWithCurrency]],3)</f>
        <v xml:space="preserve">US </v>
      </c>
      <c r="J704">
        <v>10</v>
      </c>
      <c r="K704" t="str">
        <f>IF(Table2[[#This Row],[Available]]&lt;=50, "Less Stock", "Required stock" )</f>
        <v>Less Stock</v>
      </c>
      <c r="L704">
        <f t="shared" si="10"/>
        <v>92</v>
      </c>
      <c r="M704" t="s">
        <v>572</v>
      </c>
      <c r="N704">
        <v>7</v>
      </c>
      <c r="O704" t="s">
        <v>2165</v>
      </c>
      <c r="P704" t="str">
        <f>RIGHT(RIGHT(Table2[[#This Row],[last Updated]],12),4)</f>
        <v xml:space="preserve"> PDT</v>
      </c>
      <c r="Q704" t="s">
        <v>131</v>
      </c>
    </row>
    <row r="705" spans="1:17" x14ac:dyDescent="0.25">
      <c r="A705" t="s">
        <v>2166</v>
      </c>
      <c r="B705" t="str">
        <f>UPPER(Table2[[#This Row],[Brand]])</f>
        <v>FRAGRANCE COUTURE</v>
      </c>
      <c r="C705" t="str">
        <f>LOWER(Table2[[#This Row],[Brand]])</f>
        <v>fragrance couture</v>
      </c>
      <c r="D705" t="str">
        <f>PROPER(Table2[[#This Row],[Brand]])</f>
        <v>Fragrance Couture</v>
      </c>
      <c r="E705" t="s">
        <v>15</v>
      </c>
      <c r="F705">
        <v>14.98</v>
      </c>
      <c r="G705" t="s">
        <v>2167</v>
      </c>
      <c r="H70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$14.98</v>
      </c>
      <c r="I705" t="str">
        <f>LEFT(Table2[[#This Row],[priceWithCurrency]],3)</f>
        <v xml:space="preserve">US </v>
      </c>
      <c r="K705" t="str">
        <f>IF(Table2[[#This Row],[Available]]&lt;=50, "Less Stock", "Required stock" )</f>
        <v>Less Stock</v>
      </c>
      <c r="L705">
        <f t="shared" si="10"/>
        <v>1632.43</v>
      </c>
      <c r="M705" t="s">
        <v>2168</v>
      </c>
      <c r="N705">
        <v>206</v>
      </c>
      <c r="O705" t="s">
        <v>2169</v>
      </c>
      <c r="P705" t="str">
        <f>RIGHT(RIGHT(Table2[[#This Row],[last Updated]],12),4)</f>
        <v xml:space="preserve"> PDT</v>
      </c>
      <c r="Q705" t="s">
        <v>398</v>
      </c>
    </row>
    <row r="706" spans="1:17" x14ac:dyDescent="0.25">
      <c r="A706" t="s">
        <v>799</v>
      </c>
      <c r="B706" t="str">
        <f>UPPER(Table2[[#This Row],[Brand]])</f>
        <v>CREED</v>
      </c>
      <c r="C706" t="str">
        <f>LOWER(Table2[[#This Row],[Brand]])</f>
        <v>creed</v>
      </c>
      <c r="D706" t="str">
        <f>PROPER(Table2[[#This Row],[Brand]])</f>
        <v>Creed</v>
      </c>
      <c r="E706" t="s">
        <v>4</v>
      </c>
      <c r="F706">
        <v>13</v>
      </c>
      <c r="G706" t="s">
        <v>1926</v>
      </c>
      <c r="H70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$13.00</v>
      </c>
      <c r="I706" t="str">
        <f>LEFT(Table2[[#This Row],[priceWithCurrency]],3)</f>
        <v xml:space="preserve">US </v>
      </c>
      <c r="J706">
        <v>3</v>
      </c>
      <c r="K706" t="str">
        <f>IF(Table2[[#This Row],[Available]]&lt;=50, "Less Stock", "Required stock" )</f>
        <v>Less Stock</v>
      </c>
      <c r="L706">
        <f t="shared" ref="L706:L769" si="11">SUMIF(E706:E786,E750,F750:F1705)</f>
        <v>1304.7500000000002</v>
      </c>
      <c r="M706" t="s">
        <v>2170</v>
      </c>
      <c r="N706">
        <v>17</v>
      </c>
      <c r="O706" t="s">
        <v>2171</v>
      </c>
      <c r="P706" t="str">
        <f>RIGHT(RIGHT(Table2[[#This Row],[last Updated]],12),4)</f>
        <v xml:space="preserve"> PDT</v>
      </c>
      <c r="Q706" t="s">
        <v>1928</v>
      </c>
    </row>
    <row r="707" spans="1:17" x14ac:dyDescent="0.25">
      <c r="A707" t="s">
        <v>799</v>
      </c>
      <c r="B707" t="str">
        <f>UPPER(Table2[[#This Row],[Brand]])</f>
        <v>CREED</v>
      </c>
      <c r="C707" t="str">
        <f>LOWER(Table2[[#This Row],[Brand]])</f>
        <v>creed</v>
      </c>
      <c r="D707" t="str">
        <f>PROPER(Table2[[#This Row],[Brand]])</f>
        <v>Creed</v>
      </c>
      <c r="E707" t="s">
        <v>4</v>
      </c>
      <c r="F707">
        <v>11.99</v>
      </c>
      <c r="G707" t="s">
        <v>591</v>
      </c>
      <c r="H70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$11.99</v>
      </c>
      <c r="I707" t="str">
        <f>LEFT(Table2[[#This Row],[priceWithCurrency]],3)</f>
        <v xml:space="preserve">US </v>
      </c>
      <c r="J707">
        <v>2</v>
      </c>
      <c r="K707" t="str">
        <f>IF(Table2[[#This Row],[Available]]&lt;=50, "Less Stock", "Required stock" )</f>
        <v>Less Stock</v>
      </c>
      <c r="L707">
        <f t="shared" si="11"/>
        <v>79.83</v>
      </c>
      <c r="M707" t="s">
        <v>2172</v>
      </c>
      <c r="N707">
        <v>39</v>
      </c>
      <c r="O707" t="s">
        <v>2173</v>
      </c>
      <c r="P707" t="str">
        <f>RIGHT(RIGHT(Table2[[#This Row],[last Updated]],12),4)</f>
        <v xml:space="preserve"> PDT</v>
      </c>
      <c r="Q707" t="s">
        <v>1928</v>
      </c>
    </row>
    <row r="708" spans="1:17" x14ac:dyDescent="0.25">
      <c r="A708" t="s">
        <v>79</v>
      </c>
      <c r="B708" t="str">
        <f>UPPER(Table2[[#This Row],[Brand]])</f>
        <v>PACO RABANNE</v>
      </c>
      <c r="C708" t="str">
        <f>LOWER(Table2[[#This Row],[Brand]])</f>
        <v>paco rabanne</v>
      </c>
      <c r="D708" t="str">
        <f>PROPER(Table2[[#This Row],[Brand]])</f>
        <v>Paco Rabanne</v>
      </c>
      <c r="E708" t="s">
        <v>4</v>
      </c>
      <c r="F708">
        <v>104.99</v>
      </c>
      <c r="G708" t="s">
        <v>2174</v>
      </c>
      <c r="H70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$104.99</v>
      </c>
      <c r="I708" t="str">
        <f>LEFT(Table2[[#This Row],[priceWithCurrency]],3)</f>
        <v xml:space="preserve">US </v>
      </c>
      <c r="J708">
        <v>5</v>
      </c>
      <c r="K708" t="str">
        <f>IF(Table2[[#This Row],[Available]]&lt;=50, "Less Stock", "Required stock" )</f>
        <v>Less Stock</v>
      </c>
      <c r="L708">
        <f t="shared" si="11"/>
        <v>1189.7600000000002</v>
      </c>
      <c r="M708" t="s">
        <v>2175</v>
      </c>
      <c r="N708">
        <v>38</v>
      </c>
      <c r="O708" t="s">
        <v>2176</v>
      </c>
      <c r="P708" t="str">
        <f>RIGHT(RIGHT(Table2[[#This Row],[last Updated]],12),4)</f>
        <v xml:space="preserve"> PDT</v>
      </c>
      <c r="Q708" t="s">
        <v>1860</v>
      </c>
    </row>
    <row r="709" spans="1:17" x14ac:dyDescent="0.25">
      <c r="A709" t="s">
        <v>104</v>
      </c>
      <c r="B709" t="str">
        <f>UPPER(Table2[[#This Row],[Brand]])</f>
        <v>DOLCE &amp; GABBANA</v>
      </c>
      <c r="C709" t="str">
        <f>LOWER(Table2[[#This Row],[Brand]])</f>
        <v>dolce &amp; gabbana</v>
      </c>
      <c r="D709" t="str">
        <f>PROPER(Table2[[#This Row],[Brand]])</f>
        <v>Dolce &amp; Gabbana</v>
      </c>
      <c r="E709" t="s">
        <v>276</v>
      </c>
      <c r="F709">
        <v>75.95</v>
      </c>
      <c r="G709" t="s">
        <v>2177</v>
      </c>
      <c r="H70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$75.95</v>
      </c>
      <c r="I709" t="str">
        <f>LEFT(Table2[[#This Row],[priceWithCurrency]],3)</f>
        <v xml:space="preserve">US </v>
      </c>
      <c r="J709">
        <v>10</v>
      </c>
      <c r="K709" t="str">
        <f>IF(Table2[[#This Row],[Available]]&lt;=50, "Less Stock", "Required stock" )</f>
        <v>Less Stock</v>
      </c>
      <c r="L709">
        <f t="shared" si="11"/>
        <v>1689.3100000000002</v>
      </c>
      <c r="M709" t="s">
        <v>2178</v>
      </c>
      <c r="N709">
        <v>3</v>
      </c>
      <c r="O709" t="s">
        <v>2179</v>
      </c>
      <c r="P709" t="str">
        <f>RIGHT(RIGHT(Table2[[#This Row],[last Updated]],12),4)</f>
        <v xml:space="preserve"> PDT</v>
      </c>
      <c r="Q709" t="s">
        <v>226</v>
      </c>
    </row>
    <row r="710" spans="1:17" x14ac:dyDescent="0.25">
      <c r="A710" t="s">
        <v>90</v>
      </c>
      <c r="B710" t="str">
        <f>UPPER(Table2[[#This Row],[Brand]])</f>
        <v>ARMAF</v>
      </c>
      <c r="C710" t="str">
        <f>LOWER(Table2[[#This Row],[Brand]])</f>
        <v>armaf</v>
      </c>
      <c r="D710" t="str">
        <f>PROPER(Table2[[#This Row],[Brand]])</f>
        <v>Armaf</v>
      </c>
      <c r="E710" t="s">
        <v>4</v>
      </c>
      <c r="F710">
        <v>19.41</v>
      </c>
      <c r="G710" t="s">
        <v>2180</v>
      </c>
      <c r="H71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$19.41</v>
      </c>
      <c r="I710" t="str">
        <f>LEFT(Table2[[#This Row],[priceWithCurrency]],3)</f>
        <v xml:space="preserve">US </v>
      </c>
      <c r="J710">
        <v>86</v>
      </c>
      <c r="K710" t="str">
        <f>IF(Table2[[#This Row],[Available]]&lt;=50, "Less Stock", "Required stock" )</f>
        <v>Required stock</v>
      </c>
      <c r="L710">
        <f t="shared" si="11"/>
        <v>1299.7500000000002</v>
      </c>
      <c r="M710" t="s">
        <v>2181</v>
      </c>
      <c r="N710">
        <v>501</v>
      </c>
      <c r="O710" t="s">
        <v>2182</v>
      </c>
      <c r="P710" t="str">
        <f>RIGHT(RIGHT(Table2[[#This Row],[last Updated]],12),4)</f>
        <v xml:space="preserve"> PDT</v>
      </c>
      <c r="Q710" t="s">
        <v>121</v>
      </c>
    </row>
    <row r="711" spans="1:17" x14ac:dyDescent="0.25">
      <c r="A711" t="s">
        <v>2183</v>
      </c>
      <c r="B711" t="str">
        <f>UPPER(Table2[[#This Row],[Brand]])</f>
        <v>MANCERA</v>
      </c>
      <c r="C711" t="str">
        <f>LOWER(Table2[[#This Row],[Brand]])</f>
        <v>mancera</v>
      </c>
      <c r="D711" t="str">
        <f>PROPER(Table2[[#This Row],[Brand]])</f>
        <v>Mancera</v>
      </c>
      <c r="E711" t="s">
        <v>4</v>
      </c>
      <c r="F711">
        <v>13.5</v>
      </c>
      <c r="G711" t="s">
        <v>655</v>
      </c>
      <c r="H71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$13.50</v>
      </c>
      <c r="I711" t="str">
        <f>LEFT(Table2[[#This Row],[priceWithCurrency]],3)</f>
        <v xml:space="preserve">US </v>
      </c>
      <c r="J711">
        <v>10</v>
      </c>
      <c r="K711" t="str">
        <f>IF(Table2[[#This Row],[Available]]&lt;=50, "Less Stock", "Required stock" )</f>
        <v>Less Stock</v>
      </c>
      <c r="L711">
        <f t="shared" si="11"/>
        <v>1279.7600000000002</v>
      </c>
      <c r="M711" t="s">
        <v>1405</v>
      </c>
      <c r="N711">
        <v>17</v>
      </c>
      <c r="O711" t="s">
        <v>2184</v>
      </c>
      <c r="P711" t="str">
        <f>RIGHT(RIGHT(Table2[[#This Row],[last Updated]],12),4)</f>
        <v xml:space="preserve"> PDT</v>
      </c>
      <c r="Q711" t="s">
        <v>468</v>
      </c>
    </row>
    <row r="712" spans="1:17" x14ac:dyDescent="0.25">
      <c r="A712" t="s">
        <v>20</v>
      </c>
      <c r="B712" t="str">
        <f>UPPER(Table2[[#This Row],[Brand]])</f>
        <v>GIORGIO ARMANI</v>
      </c>
      <c r="C712" t="str">
        <f>LOWER(Table2[[#This Row],[Brand]])</f>
        <v>giorgio armani</v>
      </c>
      <c r="D712" t="str">
        <f>PROPER(Table2[[#This Row],[Brand]])</f>
        <v>Giorgio Armani</v>
      </c>
      <c r="E712" t="s">
        <v>15</v>
      </c>
      <c r="F712">
        <v>29.99</v>
      </c>
      <c r="G712" t="s">
        <v>91</v>
      </c>
      <c r="H71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$29.99</v>
      </c>
      <c r="I712" t="str">
        <f>LEFT(Table2[[#This Row],[priceWithCurrency]],3)</f>
        <v xml:space="preserve">US </v>
      </c>
      <c r="J712">
        <v>6</v>
      </c>
      <c r="K712" t="str">
        <f>IF(Table2[[#This Row],[Available]]&lt;=50, "Less Stock", "Required stock" )</f>
        <v>Less Stock</v>
      </c>
      <c r="L712">
        <f t="shared" si="11"/>
        <v>1240.7700000000002</v>
      </c>
      <c r="M712" t="s">
        <v>2185</v>
      </c>
      <c r="N712">
        <v>141</v>
      </c>
      <c r="O712" t="s">
        <v>2186</v>
      </c>
      <c r="P712" t="str">
        <f>RIGHT(RIGHT(Table2[[#This Row],[last Updated]],12),4)</f>
        <v xml:space="preserve"> PDT</v>
      </c>
      <c r="Q712" t="s">
        <v>2187</v>
      </c>
    </row>
    <row r="713" spans="1:17" x14ac:dyDescent="0.25">
      <c r="A713" t="s">
        <v>208</v>
      </c>
      <c r="B713" t="str">
        <f>UPPER(Table2[[#This Row],[Brand]])</f>
        <v>POLO RALPH LAUREN</v>
      </c>
      <c r="C713" t="str">
        <f>LOWER(Table2[[#This Row],[Brand]])</f>
        <v>polo ralph lauren</v>
      </c>
      <c r="D713" t="str">
        <f>PROPER(Table2[[#This Row],[Brand]])</f>
        <v>Polo Ralph Lauren</v>
      </c>
      <c r="E713" t="s">
        <v>15</v>
      </c>
      <c r="F713">
        <v>38.99</v>
      </c>
      <c r="G713" t="s">
        <v>763</v>
      </c>
      <c r="H71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$38.99</v>
      </c>
      <c r="I713" t="str">
        <f>LEFT(Table2[[#This Row],[priceWithCurrency]],3)</f>
        <v xml:space="preserve">US </v>
      </c>
      <c r="J713">
        <v>2</v>
      </c>
      <c r="K713" t="str">
        <f>IF(Table2[[#This Row],[Available]]&lt;=50, "Less Stock", "Required stock" )</f>
        <v>Less Stock</v>
      </c>
      <c r="L713">
        <f t="shared" si="11"/>
        <v>1240.7700000000002</v>
      </c>
      <c r="M713" t="s">
        <v>2188</v>
      </c>
      <c r="N713">
        <v>41</v>
      </c>
      <c r="O713" t="s">
        <v>2189</v>
      </c>
      <c r="P713" t="str">
        <f>RIGHT(RIGHT(Table2[[#This Row],[last Updated]],12),4)</f>
        <v xml:space="preserve"> PDT</v>
      </c>
      <c r="Q713" t="s">
        <v>2190</v>
      </c>
    </row>
    <row r="714" spans="1:17" x14ac:dyDescent="0.25">
      <c r="A714" t="s">
        <v>20</v>
      </c>
      <c r="B714" t="str">
        <f>UPPER(Table2[[#This Row],[Brand]])</f>
        <v>GIORGIO ARMANI</v>
      </c>
      <c r="C714" t="str">
        <f>LOWER(Table2[[#This Row],[Brand]])</f>
        <v>giorgio armani</v>
      </c>
      <c r="D714" t="str">
        <f>PROPER(Table2[[#This Row],[Brand]])</f>
        <v>Giorgio Armani</v>
      </c>
      <c r="E714" t="s">
        <v>15</v>
      </c>
      <c r="F714">
        <v>46.99</v>
      </c>
      <c r="G714" t="s">
        <v>2191</v>
      </c>
      <c r="H71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$46.99</v>
      </c>
      <c r="I714" t="str">
        <f>LEFT(Table2[[#This Row],[priceWithCurrency]],3)</f>
        <v xml:space="preserve">US </v>
      </c>
      <c r="J714">
        <v>5</v>
      </c>
      <c r="K714" t="str">
        <f>IF(Table2[[#This Row],[Available]]&lt;=50, "Less Stock", "Required stock" )</f>
        <v>Less Stock</v>
      </c>
      <c r="L714">
        <f t="shared" si="11"/>
        <v>90.97999999999999</v>
      </c>
      <c r="M714" t="s">
        <v>930</v>
      </c>
      <c r="N714">
        <v>15</v>
      </c>
      <c r="O714" t="s">
        <v>2192</v>
      </c>
      <c r="P714" t="str">
        <f>RIGHT(RIGHT(Table2[[#This Row],[last Updated]],12),4)</f>
        <v xml:space="preserve"> PDT</v>
      </c>
      <c r="Q714" t="s">
        <v>30</v>
      </c>
    </row>
    <row r="715" spans="1:17" x14ac:dyDescent="0.25">
      <c r="A715" t="s">
        <v>807</v>
      </c>
      <c r="B715" t="str">
        <f>UPPER(Table2[[#This Row],[Brand]])</f>
        <v>HERMES</v>
      </c>
      <c r="C715" t="str">
        <f>LOWER(Table2[[#This Row],[Brand]])</f>
        <v>hermes</v>
      </c>
      <c r="D715" t="str">
        <f>PROPER(Table2[[#This Row],[Brand]])</f>
        <v>Hermes</v>
      </c>
      <c r="E715" t="s">
        <v>15</v>
      </c>
      <c r="F715">
        <v>14.98</v>
      </c>
      <c r="G715" t="s">
        <v>2167</v>
      </c>
      <c r="H71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$14.98</v>
      </c>
      <c r="I715" t="str">
        <f>LEFT(Table2[[#This Row],[priceWithCurrency]],3)</f>
        <v xml:space="preserve">US </v>
      </c>
      <c r="J715">
        <v>10</v>
      </c>
      <c r="K715" t="str">
        <f>IF(Table2[[#This Row],[Available]]&lt;=50, "Less Stock", "Required stock" )</f>
        <v>Less Stock</v>
      </c>
      <c r="L715">
        <f t="shared" si="11"/>
        <v>255.01</v>
      </c>
      <c r="M715" t="s">
        <v>2193</v>
      </c>
      <c r="N715">
        <v>418</v>
      </c>
      <c r="O715" t="s">
        <v>2194</v>
      </c>
      <c r="P715" t="str">
        <f>RIGHT(RIGHT(Table2[[#This Row],[last Updated]],12),4)</f>
        <v xml:space="preserve"> PDT</v>
      </c>
      <c r="Q715" t="s">
        <v>108</v>
      </c>
    </row>
    <row r="716" spans="1:17" x14ac:dyDescent="0.25">
      <c r="A716" t="s">
        <v>373</v>
      </c>
      <c r="B716" t="str">
        <f>UPPER(Table2[[#This Row],[Brand]])</f>
        <v>ABERCROMBIE &amp; FITCH</v>
      </c>
      <c r="C716" t="str">
        <f>LOWER(Table2[[#This Row],[Brand]])</f>
        <v>abercrombie &amp; fitch</v>
      </c>
      <c r="D716" t="str">
        <f>PROPER(Table2[[#This Row],[Brand]])</f>
        <v>Abercrombie &amp; Fitch</v>
      </c>
      <c r="E716" t="s">
        <v>374</v>
      </c>
      <c r="F716">
        <v>44.99</v>
      </c>
      <c r="G716" t="s">
        <v>21</v>
      </c>
      <c r="H71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$44.99</v>
      </c>
      <c r="I716" t="str">
        <f>LEFT(Table2[[#This Row],[priceWithCurrency]],3)</f>
        <v xml:space="preserve">US </v>
      </c>
      <c r="J716">
        <v>2</v>
      </c>
      <c r="K716" t="str">
        <f>IF(Table2[[#This Row],[Available]]&lt;=50, "Less Stock", "Required stock" )</f>
        <v>Less Stock</v>
      </c>
      <c r="L716">
        <f t="shared" si="11"/>
        <v>1724.0200000000002</v>
      </c>
      <c r="M716" t="s">
        <v>2195</v>
      </c>
      <c r="N716">
        <v>129</v>
      </c>
      <c r="O716" t="s">
        <v>2196</v>
      </c>
      <c r="P716" t="str">
        <f>RIGHT(RIGHT(Table2[[#This Row],[last Updated]],12),4)</f>
        <v xml:space="preserve"> PDT</v>
      </c>
      <c r="Q716" t="s">
        <v>24</v>
      </c>
    </row>
    <row r="717" spans="1:17" x14ac:dyDescent="0.25">
      <c r="A717" t="s">
        <v>270</v>
      </c>
      <c r="B717" t="str">
        <f>UPPER(Table2[[#This Row],[Brand]])</f>
        <v>YVES SAINT LAURENT</v>
      </c>
      <c r="C717" t="str">
        <f>LOWER(Table2[[#This Row],[Brand]])</f>
        <v>yves saint laurent</v>
      </c>
      <c r="D717" t="str">
        <f>PROPER(Table2[[#This Row],[Brand]])</f>
        <v>Yves Saint Laurent</v>
      </c>
      <c r="E717" t="s">
        <v>4</v>
      </c>
      <c r="F717">
        <v>9.89</v>
      </c>
      <c r="G717" t="s">
        <v>2197</v>
      </c>
      <c r="H71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$9.89</v>
      </c>
      <c r="I717" t="str">
        <f>LEFT(Table2[[#This Row],[priceWithCurrency]],3)</f>
        <v xml:space="preserve">US </v>
      </c>
      <c r="J717">
        <v>10</v>
      </c>
      <c r="K717" t="str">
        <f>IF(Table2[[#This Row],[Available]]&lt;=50, "Less Stock", "Required stock" )</f>
        <v>Less Stock</v>
      </c>
      <c r="L717">
        <f t="shared" si="11"/>
        <v>1272.7200000000003</v>
      </c>
      <c r="M717" t="s">
        <v>1018</v>
      </c>
      <c r="N717">
        <v>6</v>
      </c>
      <c r="P717" t="str">
        <f>RIGHT(RIGHT(Table2[[#This Row],[last Updated]],12),4)</f>
        <v/>
      </c>
      <c r="Q717" t="s">
        <v>1005</v>
      </c>
    </row>
    <row r="718" spans="1:17" x14ac:dyDescent="0.25">
      <c r="A718" t="s">
        <v>51</v>
      </c>
      <c r="B718" t="str">
        <f>UPPER(Table2[[#This Row],[Brand]])</f>
        <v>GUCCI</v>
      </c>
      <c r="C718" t="str">
        <f>LOWER(Table2[[#This Row],[Brand]])</f>
        <v>gucci</v>
      </c>
      <c r="D718" t="str">
        <f>PROPER(Table2[[#This Row],[Brand]])</f>
        <v>Gucci</v>
      </c>
      <c r="E718" t="s">
        <v>2198</v>
      </c>
      <c r="F718">
        <v>15.99</v>
      </c>
      <c r="G718" t="s">
        <v>67</v>
      </c>
      <c r="H71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$15.99</v>
      </c>
      <c r="I718" t="str">
        <f>LEFT(Table2[[#This Row],[priceWithCurrency]],3)</f>
        <v xml:space="preserve">US </v>
      </c>
      <c r="K718" t="str">
        <f>IF(Table2[[#This Row],[Available]]&lt;=50, "Less Stock", "Required stock" )</f>
        <v>Less Stock</v>
      </c>
      <c r="L718">
        <f t="shared" si="11"/>
        <v>29.03</v>
      </c>
      <c r="M718" t="s">
        <v>2199</v>
      </c>
      <c r="N718">
        <v>196</v>
      </c>
      <c r="O718" t="s">
        <v>2200</v>
      </c>
      <c r="P718" t="str">
        <f>RIGHT(RIGHT(Table2[[#This Row],[last Updated]],12),4)</f>
        <v xml:space="preserve"> PDT</v>
      </c>
      <c r="Q718" t="s">
        <v>2201</v>
      </c>
    </row>
    <row r="719" spans="1:17" x14ac:dyDescent="0.25">
      <c r="A719" t="s">
        <v>2202</v>
      </c>
      <c r="B719" t="str">
        <f>UPPER(Table2[[#This Row],[Brand]])</f>
        <v>HUGO BOSS</v>
      </c>
      <c r="C719" t="str">
        <f>LOWER(Table2[[#This Row],[Brand]])</f>
        <v>hugo boss</v>
      </c>
      <c r="D719" t="str">
        <f>PROPER(Table2[[#This Row],[Brand]])</f>
        <v>Hugo Boss</v>
      </c>
      <c r="E719" t="s">
        <v>715</v>
      </c>
      <c r="F719">
        <v>65.37</v>
      </c>
      <c r="G719" t="s">
        <v>2203</v>
      </c>
      <c r="H71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$65.37</v>
      </c>
      <c r="I719" t="str">
        <f>LEFT(Table2[[#This Row],[priceWithCurrency]],3)</f>
        <v xml:space="preserve">US </v>
      </c>
      <c r="J719">
        <v>16</v>
      </c>
      <c r="K719" t="str">
        <f>IF(Table2[[#This Row],[Available]]&lt;=50, "Less Stock", "Required stock" )</f>
        <v>Less Stock</v>
      </c>
      <c r="L719">
        <f t="shared" si="11"/>
        <v>1180.74</v>
      </c>
      <c r="M719" t="s">
        <v>2204</v>
      </c>
      <c r="N719">
        <v>87</v>
      </c>
      <c r="O719" t="s">
        <v>2205</v>
      </c>
      <c r="P719" t="str">
        <f>RIGHT(RIGHT(Table2[[#This Row],[last Updated]],12),4)</f>
        <v xml:space="preserve"> PDT</v>
      </c>
      <c r="Q719" t="s">
        <v>121</v>
      </c>
    </row>
    <row r="720" spans="1:17" x14ac:dyDescent="0.25">
      <c r="A720" t="s">
        <v>159</v>
      </c>
      <c r="B720" t="str">
        <f>UPPER(Table2[[#This Row],[Brand]])</f>
        <v>VALENTINO</v>
      </c>
      <c r="C720" t="str">
        <f>LOWER(Table2[[#This Row],[Brand]])</f>
        <v>valentino</v>
      </c>
      <c r="D720" t="str">
        <f>PROPER(Table2[[#This Row],[Brand]])</f>
        <v>Valentino</v>
      </c>
      <c r="E720" t="s">
        <v>15</v>
      </c>
      <c r="F720">
        <v>59.99</v>
      </c>
      <c r="G720" t="s">
        <v>72</v>
      </c>
      <c r="H72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$59.99</v>
      </c>
      <c r="I720" t="str">
        <f>LEFT(Table2[[#This Row],[priceWithCurrency]],3)</f>
        <v xml:space="preserve">US </v>
      </c>
      <c r="J720">
        <v>2</v>
      </c>
      <c r="K720" t="str">
        <f>IF(Table2[[#This Row],[Available]]&lt;=50, "Less Stock", "Required stock" )</f>
        <v>Less Stock</v>
      </c>
      <c r="L720">
        <f t="shared" si="11"/>
        <v>1742.3500000000001</v>
      </c>
      <c r="M720" t="s">
        <v>817</v>
      </c>
      <c r="N720">
        <v>3</v>
      </c>
      <c r="O720" t="s">
        <v>2206</v>
      </c>
      <c r="P720" t="str">
        <f>RIGHT(RIGHT(Table2[[#This Row],[last Updated]],12),4)</f>
        <v xml:space="preserve"> PDT</v>
      </c>
      <c r="Q720" t="s">
        <v>356</v>
      </c>
    </row>
    <row r="721" spans="1:17" x14ac:dyDescent="0.25">
      <c r="A721" t="s">
        <v>2207</v>
      </c>
      <c r="B721" t="str">
        <f>UPPER(Table2[[#This Row],[Brand]])</f>
        <v>LLURE SX</v>
      </c>
      <c r="C721" t="str">
        <f>LOWER(Table2[[#This Row],[Brand]])</f>
        <v>llure sx</v>
      </c>
      <c r="D721" t="str">
        <f>PROPER(Table2[[#This Row],[Brand]])</f>
        <v>Llure Sx</v>
      </c>
      <c r="E721" t="s">
        <v>335</v>
      </c>
      <c r="F721">
        <v>38.950000000000003</v>
      </c>
      <c r="G721" t="s">
        <v>2208</v>
      </c>
      <c r="H72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$38.95</v>
      </c>
      <c r="I721" t="str">
        <f>LEFT(Table2[[#This Row],[priceWithCurrency]],3)</f>
        <v xml:space="preserve">US </v>
      </c>
      <c r="J721">
        <v>3</v>
      </c>
      <c r="K721" t="str">
        <f>IF(Table2[[#This Row],[Available]]&lt;=50, "Less Stock", "Required stock" )</f>
        <v>Less Stock</v>
      </c>
      <c r="L721">
        <f t="shared" si="11"/>
        <v>1731.3400000000001</v>
      </c>
      <c r="M721" t="s">
        <v>2209</v>
      </c>
      <c r="N721">
        <v>114</v>
      </c>
      <c r="O721" t="s">
        <v>2210</v>
      </c>
      <c r="P721" t="str">
        <f>RIGHT(RIGHT(Table2[[#This Row],[last Updated]],12),4)</f>
        <v xml:space="preserve"> PDT</v>
      </c>
      <c r="Q721" t="s">
        <v>2211</v>
      </c>
    </row>
    <row r="722" spans="1:17" x14ac:dyDescent="0.25">
      <c r="A722" t="s">
        <v>2212</v>
      </c>
      <c r="B722" t="str">
        <f>UPPER(Table2[[#This Row],[Brand]])</f>
        <v>JACQUES BOGART</v>
      </c>
      <c r="C722" t="str">
        <f>LOWER(Table2[[#This Row],[Brand]])</f>
        <v>jacques bogart</v>
      </c>
      <c r="D722" t="str">
        <f>PROPER(Table2[[#This Row],[Brand]])</f>
        <v>Jacques Bogart</v>
      </c>
      <c r="E722" t="s">
        <v>15</v>
      </c>
      <c r="F722">
        <v>13.97</v>
      </c>
      <c r="G722" t="s">
        <v>2213</v>
      </c>
      <c r="H72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$13.97</v>
      </c>
      <c r="I722" t="str">
        <f>LEFT(Table2[[#This Row],[priceWithCurrency]],3)</f>
        <v xml:space="preserve">US </v>
      </c>
      <c r="J722">
        <v>31</v>
      </c>
      <c r="K722" t="str">
        <f>IF(Table2[[#This Row],[Available]]&lt;=50, "Less Stock", "Required stock" )</f>
        <v>Less Stock</v>
      </c>
      <c r="L722">
        <f t="shared" si="11"/>
        <v>384.85</v>
      </c>
      <c r="M722" t="s">
        <v>2214</v>
      </c>
      <c r="N722">
        <v>957</v>
      </c>
      <c r="O722" t="s">
        <v>2215</v>
      </c>
      <c r="P722" t="str">
        <f>RIGHT(RIGHT(Table2[[#This Row],[last Updated]],12),4)</f>
        <v xml:space="preserve"> PDT</v>
      </c>
      <c r="Q722" t="s">
        <v>121</v>
      </c>
    </row>
    <row r="723" spans="1:17" x14ac:dyDescent="0.25">
      <c r="A723" t="s">
        <v>61</v>
      </c>
      <c r="B723" t="str">
        <f>UPPER(Table2[[#This Row],[Brand]])</f>
        <v>DOLCE&amp;GABBANA</v>
      </c>
      <c r="C723" t="str">
        <f>LOWER(Table2[[#This Row],[Brand]])</f>
        <v>dolce&amp;gabbana</v>
      </c>
      <c r="D723" t="str">
        <f>PROPER(Table2[[#This Row],[Brand]])</f>
        <v>Dolce&amp;Gabbana</v>
      </c>
      <c r="E723" t="s">
        <v>4</v>
      </c>
      <c r="F723">
        <v>239.99</v>
      </c>
      <c r="G723" t="s">
        <v>2216</v>
      </c>
      <c r="H72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$239.99</v>
      </c>
      <c r="I723" t="str">
        <f>LEFT(Table2[[#This Row],[priceWithCurrency]],3)</f>
        <v xml:space="preserve">US </v>
      </c>
      <c r="J723">
        <v>10</v>
      </c>
      <c r="K723" t="str">
        <f>IF(Table2[[#This Row],[Available]]&lt;=50, "Less Stock", "Required stock" )</f>
        <v>Less Stock</v>
      </c>
      <c r="L723">
        <f t="shared" si="11"/>
        <v>1713.0500000000002</v>
      </c>
      <c r="M723" t="s">
        <v>390</v>
      </c>
      <c r="N723">
        <v>14</v>
      </c>
      <c r="O723" t="s">
        <v>2217</v>
      </c>
      <c r="P723" t="str">
        <f>RIGHT(RIGHT(Table2[[#This Row],[last Updated]],12),4)</f>
        <v xml:space="preserve"> PDT</v>
      </c>
      <c r="Q723" t="s">
        <v>1635</v>
      </c>
    </row>
    <row r="724" spans="1:17" x14ac:dyDescent="0.25">
      <c r="A724" t="s">
        <v>51</v>
      </c>
      <c r="B724" t="str">
        <f>UPPER(Table2[[#This Row],[Brand]])</f>
        <v>GUCCI</v>
      </c>
      <c r="C724" t="str">
        <f>LOWER(Table2[[#This Row],[Brand]])</f>
        <v>gucci</v>
      </c>
      <c r="D724" t="str">
        <f>PROPER(Table2[[#This Row],[Brand]])</f>
        <v>Gucci</v>
      </c>
      <c r="E724" t="s">
        <v>15</v>
      </c>
      <c r="F724">
        <v>53.99</v>
      </c>
      <c r="G724" t="s">
        <v>2218</v>
      </c>
      <c r="H72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$53.99</v>
      </c>
      <c r="I724" t="str">
        <f>LEFT(Table2[[#This Row],[priceWithCurrency]],3)</f>
        <v xml:space="preserve">US </v>
      </c>
      <c r="J724">
        <v>3</v>
      </c>
      <c r="K724" t="str">
        <f>IF(Table2[[#This Row],[Available]]&lt;=50, "Less Stock", "Required stock" )</f>
        <v>Less Stock</v>
      </c>
      <c r="L724">
        <f t="shared" si="11"/>
        <v>1724.0400000000002</v>
      </c>
      <c r="M724" t="s">
        <v>324</v>
      </c>
      <c r="N724">
        <v>3</v>
      </c>
      <c r="P724" t="str">
        <f>RIGHT(RIGHT(Table2[[#This Row],[last Updated]],12),4)</f>
        <v/>
      </c>
      <c r="Q724" t="s">
        <v>89</v>
      </c>
    </row>
    <row r="725" spans="1:17" x14ac:dyDescent="0.25">
      <c r="A725" t="s">
        <v>56</v>
      </c>
      <c r="B725" t="str">
        <f>UPPER(Table2[[#This Row],[Brand]])</f>
        <v>RALPH LAUREN</v>
      </c>
      <c r="C725" t="str">
        <f>LOWER(Table2[[#This Row],[Brand]])</f>
        <v>ralph lauren</v>
      </c>
      <c r="D725" t="str">
        <f>PROPER(Table2[[#This Row],[Brand]])</f>
        <v>Ralph Lauren</v>
      </c>
      <c r="E725" t="s">
        <v>15</v>
      </c>
      <c r="F725">
        <v>29.99</v>
      </c>
      <c r="G725" t="s">
        <v>91</v>
      </c>
      <c r="H72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$29.99</v>
      </c>
      <c r="I725" t="str">
        <f>LEFT(Table2[[#This Row],[priceWithCurrency]],3)</f>
        <v xml:space="preserve">US </v>
      </c>
      <c r="J725">
        <v>10</v>
      </c>
      <c r="K725" t="str">
        <f>IF(Table2[[#This Row],[Available]]&lt;=50, "Less Stock", "Required stock" )</f>
        <v>Less Stock</v>
      </c>
      <c r="L725">
        <f t="shared" si="11"/>
        <v>1689.0500000000002</v>
      </c>
      <c r="M725" t="s">
        <v>703</v>
      </c>
      <c r="N725">
        <v>8</v>
      </c>
      <c r="O725" t="s">
        <v>2219</v>
      </c>
      <c r="P725" t="str">
        <f>RIGHT(RIGHT(Table2[[#This Row],[last Updated]],12),4)</f>
        <v xml:space="preserve"> PDT</v>
      </c>
      <c r="Q725" t="s">
        <v>2220</v>
      </c>
    </row>
    <row r="726" spans="1:17" x14ac:dyDescent="0.25">
      <c r="A726" t="s">
        <v>253</v>
      </c>
      <c r="B726" t="str">
        <f>UPPER(Table2[[#This Row],[Brand]])</f>
        <v>TOMMY HILFIGER</v>
      </c>
      <c r="C726" t="str">
        <f>LOWER(Table2[[#This Row],[Brand]])</f>
        <v>tommy hilfiger</v>
      </c>
      <c r="D726" t="str">
        <f>PROPER(Table2[[#This Row],[Brand]])</f>
        <v>Tommy Hilfiger</v>
      </c>
      <c r="E726" t="s">
        <v>4</v>
      </c>
      <c r="F726">
        <v>44.95</v>
      </c>
      <c r="G726" t="s">
        <v>2221</v>
      </c>
      <c r="H72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$44.95</v>
      </c>
      <c r="I726" t="str">
        <f>LEFT(Table2[[#This Row],[priceWithCurrency]],3)</f>
        <v xml:space="preserve">US </v>
      </c>
      <c r="J726">
        <v>6</v>
      </c>
      <c r="K726" t="str">
        <f>IF(Table2[[#This Row],[Available]]&lt;=50, "Less Stock", "Required stock" )</f>
        <v>Less Stock</v>
      </c>
      <c r="L726">
        <f t="shared" si="11"/>
        <v>29.99</v>
      </c>
      <c r="M726" t="s">
        <v>2222</v>
      </c>
      <c r="N726">
        <v>75</v>
      </c>
      <c r="O726" t="s">
        <v>2223</v>
      </c>
      <c r="P726" t="str">
        <f>RIGHT(RIGHT(Table2[[#This Row],[last Updated]],12),4)</f>
        <v xml:space="preserve"> PDT</v>
      </c>
      <c r="Q726" t="s">
        <v>1121</v>
      </c>
    </row>
    <row r="727" spans="1:17" x14ac:dyDescent="0.25">
      <c r="A727" t="s">
        <v>20</v>
      </c>
      <c r="B727" t="str">
        <f>UPPER(Table2[[#This Row],[Brand]])</f>
        <v>GIORGIO ARMANI</v>
      </c>
      <c r="C727" t="str">
        <f>LOWER(Table2[[#This Row],[Brand]])</f>
        <v>giorgio armani</v>
      </c>
      <c r="D727" t="str">
        <f>PROPER(Table2[[#This Row],[Brand]])</f>
        <v>Giorgio Armani</v>
      </c>
      <c r="E727" t="s">
        <v>4</v>
      </c>
      <c r="F727">
        <v>79.989999999999995</v>
      </c>
      <c r="G727" t="s">
        <v>407</v>
      </c>
      <c r="H72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$79.99</v>
      </c>
      <c r="I727" t="str">
        <f>LEFT(Table2[[#This Row],[priceWithCurrency]],3)</f>
        <v xml:space="preserve">US </v>
      </c>
      <c r="J727">
        <v>5</v>
      </c>
      <c r="K727" t="str">
        <f>IF(Table2[[#This Row],[Available]]&lt;=50, "Less Stock", "Required stock" )</f>
        <v>Less Stock</v>
      </c>
      <c r="L727">
        <f t="shared" si="11"/>
        <v>1635.6000000000001</v>
      </c>
      <c r="M727" t="s">
        <v>2224</v>
      </c>
      <c r="N727">
        <v>47</v>
      </c>
      <c r="O727" t="s">
        <v>2225</v>
      </c>
      <c r="P727" t="str">
        <f>RIGHT(RIGHT(Table2[[#This Row],[last Updated]],12),4)</f>
        <v xml:space="preserve"> PDT</v>
      </c>
      <c r="Q727" t="s">
        <v>768</v>
      </c>
    </row>
    <row r="728" spans="1:17" x14ac:dyDescent="0.25">
      <c r="A728" t="s">
        <v>14</v>
      </c>
      <c r="B728" t="str">
        <f>UPPER(Table2[[#This Row],[Brand]])</f>
        <v>UNBRANDED</v>
      </c>
      <c r="C728" t="str">
        <f>LOWER(Table2[[#This Row],[Brand]])</f>
        <v>unbranded</v>
      </c>
      <c r="D728" t="str">
        <f>PROPER(Table2[[#This Row],[Brand]])</f>
        <v>Unbranded</v>
      </c>
      <c r="E728" t="s">
        <v>4</v>
      </c>
      <c r="F728">
        <v>13.99</v>
      </c>
      <c r="G728" t="s">
        <v>243</v>
      </c>
      <c r="H72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$13.99</v>
      </c>
      <c r="I728" t="str">
        <f>LEFT(Table2[[#This Row],[priceWithCurrency]],3)</f>
        <v xml:space="preserve">US </v>
      </c>
      <c r="J728">
        <v>10</v>
      </c>
      <c r="K728" t="str">
        <f>IF(Table2[[#This Row],[Available]]&lt;=50, "Less Stock", "Required stock" )</f>
        <v>Less Stock</v>
      </c>
      <c r="L728">
        <f t="shared" si="11"/>
        <v>1193.5400000000002</v>
      </c>
      <c r="M728" t="s">
        <v>703</v>
      </c>
      <c r="N728">
        <v>8</v>
      </c>
      <c r="O728" t="s">
        <v>2226</v>
      </c>
      <c r="P728" t="str">
        <f>RIGHT(RIGHT(Table2[[#This Row],[last Updated]],12),4)</f>
        <v xml:space="preserve"> PDT</v>
      </c>
      <c r="Q728" t="s">
        <v>19</v>
      </c>
    </row>
    <row r="729" spans="1:17" x14ac:dyDescent="0.25">
      <c r="A729" t="s">
        <v>335</v>
      </c>
      <c r="B729" t="str">
        <f>UPPER(Table2[[#This Row],[Brand]])</f>
        <v>COLOGNE</v>
      </c>
      <c r="C729" t="str">
        <f>LOWER(Table2[[#This Row],[Brand]])</f>
        <v>cologne</v>
      </c>
      <c r="D729" t="str">
        <f>PROPER(Table2[[#This Row],[Brand]])</f>
        <v>Cologne</v>
      </c>
      <c r="E729" t="s">
        <v>15</v>
      </c>
      <c r="F729">
        <v>25.46</v>
      </c>
      <c r="G729" t="s">
        <v>2227</v>
      </c>
      <c r="H72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$25.46</v>
      </c>
      <c r="I729" t="str">
        <f>LEFT(Table2[[#This Row],[priceWithCurrency]],3)</f>
        <v xml:space="preserve">US </v>
      </c>
      <c r="J729">
        <v>10</v>
      </c>
      <c r="K729" t="str">
        <f>IF(Table2[[#This Row],[Available]]&lt;=50, "Less Stock", "Required stock" )</f>
        <v>Less Stock</v>
      </c>
      <c r="L729">
        <f t="shared" si="11"/>
        <v>37.269999999999996</v>
      </c>
      <c r="M729" t="s">
        <v>605</v>
      </c>
      <c r="N729">
        <v>410</v>
      </c>
      <c r="O729" t="s">
        <v>2228</v>
      </c>
      <c r="P729" t="str">
        <f>RIGHT(RIGHT(Table2[[#This Row],[last Updated]],12),4)</f>
        <v xml:space="preserve"> PDT</v>
      </c>
      <c r="Q729" t="s">
        <v>2229</v>
      </c>
    </row>
    <row r="730" spans="1:17" x14ac:dyDescent="0.25">
      <c r="A730" t="s">
        <v>399</v>
      </c>
      <c r="B730" t="str">
        <f>UPPER(Table2[[#This Row],[Brand]])</f>
        <v>MOSCHINO</v>
      </c>
      <c r="C730" t="str">
        <f>LOWER(Table2[[#This Row],[Brand]])</f>
        <v>moschino</v>
      </c>
      <c r="D730" t="str">
        <f>PROPER(Table2[[#This Row],[Brand]])</f>
        <v>Moschino</v>
      </c>
      <c r="E730" t="s">
        <v>4</v>
      </c>
      <c r="F730">
        <v>35.99</v>
      </c>
      <c r="G730" t="s">
        <v>287</v>
      </c>
      <c r="H73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$35.99</v>
      </c>
      <c r="I730" t="str">
        <f>LEFT(Table2[[#This Row],[priceWithCurrency]],3)</f>
        <v xml:space="preserve">US </v>
      </c>
      <c r="J730">
        <v>4</v>
      </c>
      <c r="K730" t="str">
        <f>IF(Table2[[#This Row],[Available]]&lt;=50, "Less Stock", "Required stock" )</f>
        <v>Less Stock</v>
      </c>
      <c r="L730">
        <f t="shared" si="11"/>
        <v>1629.7900000000002</v>
      </c>
      <c r="M730" t="s">
        <v>2048</v>
      </c>
      <c r="N730">
        <v>3</v>
      </c>
      <c r="O730" t="s">
        <v>2230</v>
      </c>
      <c r="P730" t="str">
        <f>RIGHT(RIGHT(Table2[[#This Row],[last Updated]],12),4)</f>
        <v xml:space="preserve"> PDT</v>
      </c>
      <c r="Q730" t="s">
        <v>2231</v>
      </c>
    </row>
    <row r="731" spans="1:17" x14ac:dyDescent="0.25">
      <c r="A731" t="s">
        <v>104</v>
      </c>
      <c r="B731" t="str">
        <f>UPPER(Table2[[#This Row],[Brand]])</f>
        <v>DOLCE &amp; GABBANA</v>
      </c>
      <c r="C731" t="str">
        <f>LOWER(Table2[[#This Row],[Brand]])</f>
        <v>dolce &amp; gabbana</v>
      </c>
      <c r="D731" t="str">
        <f>PROPER(Table2[[#This Row],[Brand]])</f>
        <v>Dolce &amp; Gabbana</v>
      </c>
      <c r="E731" t="s">
        <v>536</v>
      </c>
      <c r="F731">
        <v>7.5</v>
      </c>
      <c r="G731" t="s">
        <v>2232</v>
      </c>
      <c r="H73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$7.50</v>
      </c>
      <c r="I731" t="str">
        <f>LEFT(Table2[[#This Row],[priceWithCurrency]],3)</f>
        <v xml:space="preserve">US </v>
      </c>
      <c r="J731">
        <v>10</v>
      </c>
      <c r="K731" t="str">
        <f>IF(Table2[[#This Row],[Available]]&lt;=50, "Less Stock", "Required stock" )</f>
        <v>Less Stock</v>
      </c>
      <c r="L731">
        <f t="shared" si="11"/>
        <v>1629.7900000000002</v>
      </c>
      <c r="M731" t="s">
        <v>2233</v>
      </c>
      <c r="N731">
        <v>115</v>
      </c>
      <c r="O731" t="s">
        <v>2234</v>
      </c>
      <c r="P731" t="str">
        <f>RIGHT(RIGHT(Table2[[#This Row],[last Updated]],12),4)</f>
        <v xml:space="preserve"> PDT</v>
      </c>
      <c r="Q731" t="s">
        <v>468</v>
      </c>
    </row>
    <row r="732" spans="1:17" x14ac:dyDescent="0.25">
      <c r="A732" t="s">
        <v>270</v>
      </c>
      <c r="B732" t="str">
        <f>UPPER(Table2[[#This Row],[Brand]])</f>
        <v>YVES SAINT LAURENT</v>
      </c>
      <c r="C732" t="str">
        <f>LOWER(Table2[[#This Row],[Brand]])</f>
        <v>yves saint laurent</v>
      </c>
      <c r="D732" t="str">
        <f>PROPER(Table2[[#This Row],[Brand]])</f>
        <v>Yves Saint Laurent</v>
      </c>
      <c r="E732" t="s">
        <v>4</v>
      </c>
      <c r="F732">
        <v>129</v>
      </c>
      <c r="G732" t="s">
        <v>836</v>
      </c>
      <c r="H73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$129.00</v>
      </c>
      <c r="I732" t="str">
        <f>LEFT(Table2[[#This Row],[priceWithCurrency]],3)</f>
        <v xml:space="preserve">US </v>
      </c>
      <c r="J732">
        <v>7</v>
      </c>
      <c r="K732" t="str">
        <f>IF(Table2[[#This Row],[Available]]&lt;=50, "Less Stock", "Required stock" )</f>
        <v>Less Stock</v>
      </c>
      <c r="L732">
        <f t="shared" si="11"/>
        <v>1207.2700000000002</v>
      </c>
      <c r="M732" t="s">
        <v>1528</v>
      </c>
      <c r="N732">
        <v>13</v>
      </c>
      <c r="O732" t="s">
        <v>2235</v>
      </c>
      <c r="P732" t="str">
        <f>RIGHT(RIGHT(Table2[[#This Row],[last Updated]],12),4)</f>
        <v xml:space="preserve"> PDT</v>
      </c>
      <c r="Q732" t="s">
        <v>1816</v>
      </c>
    </row>
    <row r="733" spans="1:17" x14ac:dyDescent="0.25">
      <c r="A733" t="s">
        <v>71</v>
      </c>
      <c r="B733" t="str">
        <f>UPPER(Table2[[#This Row],[Brand]])</f>
        <v>AS SHOW</v>
      </c>
      <c r="C733" t="str">
        <f>LOWER(Table2[[#This Row],[Brand]])</f>
        <v>as show</v>
      </c>
      <c r="D733" t="str">
        <f>PROPER(Table2[[#This Row],[Brand]])</f>
        <v>As Show</v>
      </c>
      <c r="E733" t="s">
        <v>15</v>
      </c>
      <c r="F733">
        <v>47.99</v>
      </c>
      <c r="G733" t="s">
        <v>878</v>
      </c>
      <c r="H73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$47.99</v>
      </c>
      <c r="I733" t="str">
        <f>LEFT(Table2[[#This Row],[priceWithCurrency]],3)</f>
        <v xml:space="preserve">US </v>
      </c>
      <c r="J733">
        <v>6</v>
      </c>
      <c r="K733" t="str">
        <f>IF(Table2[[#This Row],[Available]]&lt;=50, "Less Stock", "Required stock" )</f>
        <v>Less Stock</v>
      </c>
      <c r="L733">
        <f t="shared" si="11"/>
        <v>1189.2900000000002</v>
      </c>
      <c r="M733" t="s">
        <v>2236</v>
      </c>
      <c r="N733">
        <v>16</v>
      </c>
      <c r="O733" t="s">
        <v>2237</v>
      </c>
      <c r="P733" t="str">
        <f>RIGHT(RIGHT(Table2[[#This Row],[last Updated]],12),4)</f>
        <v xml:space="preserve"> PDT</v>
      </c>
      <c r="Q733" t="s">
        <v>2238</v>
      </c>
    </row>
    <row r="734" spans="1:17" x14ac:dyDescent="0.25">
      <c r="A734" t="s">
        <v>95</v>
      </c>
      <c r="B734" t="str">
        <f>UPPER(Table2[[#This Row],[Brand]])</f>
        <v>CAROLINA HERRERA</v>
      </c>
      <c r="C734" t="str">
        <f>LOWER(Table2[[#This Row],[Brand]])</f>
        <v>carolina herrera</v>
      </c>
      <c r="D734" t="str">
        <f>PROPER(Table2[[#This Row],[Brand]])</f>
        <v>Carolina Herrera</v>
      </c>
      <c r="E734" t="s">
        <v>15</v>
      </c>
      <c r="F734">
        <v>59.43</v>
      </c>
      <c r="G734" t="s">
        <v>2239</v>
      </c>
      <c r="H73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$59.43</v>
      </c>
      <c r="I734" t="str">
        <f>LEFT(Table2[[#This Row],[priceWithCurrency]],3)</f>
        <v xml:space="preserve">US </v>
      </c>
      <c r="J734">
        <v>7</v>
      </c>
      <c r="K734" t="str">
        <f>IF(Table2[[#This Row],[Available]]&lt;=50, "Less Stock", "Required stock" )</f>
        <v>Less Stock</v>
      </c>
      <c r="L734">
        <f t="shared" si="11"/>
        <v>1723.2800000000002</v>
      </c>
      <c r="M734" t="s">
        <v>2240</v>
      </c>
      <c r="N734">
        <v>3691</v>
      </c>
      <c r="O734" t="s">
        <v>2241</v>
      </c>
      <c r="P734" t="str">
        <f>RIGHT(RIGHT(Table2[[#This Row],[last Updated]],12),4)</f>
        <v xml:space="preserve"> PDT</v>
      </c>
      <c r="Q734" t="s">
        <v>108</v>
      </c>
    </row>
    <row r="735" spans="1:17" x14ac:dyDescent="0.25">
      <c r="A735" t="s">
        <v>104</v>
      </c>
      <c r="B735" t="str">
        <f>UPPER(Table2[[#This Row],[Brand]])</f>
        <v>DOLCE &amp; GABBANA</v>
      </c>
      <c r="C735" t="str">
        <f>LOWER(Table2[[#This Row],[Brand]])</f>
        <v>dolce &amp; gabbana</v>
      </c>
      <c r="D735" t="str">
        <f>PROPER(Table2[[#This Row],[Brand]])</f>
        <v>Dolce &amp; Gabbana</v>
      </c>
      <c r="E735" t="s">
        <v>4</v>
      </c>
      <c r="F735">
        <v>14.95</v>
      </c>
      <c r="G735" t="s">
        <v>2242</v>
      </c>
      <c r="H73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$14.95</v>
      </c>
      <c r="I735" t="str">
        <f>LEFT(Table2[[#This Row],[priceWithCurrency]],3)</f>
        <v xml:space="preserve">US </v>
      </c>
      <c r="J735">
        <v>8</v>
      </c>
      <c r="K735" t="str">
        <f>IF(Table2[[#This Row],[Available]]&lt;=50, "Less Stock", "Required stock" )</f>
        <v>Less Stock</v>
      </c>
      <c r="L735">
        <f t="shared" si="11"/>
        <v>1700.24</v>
      </c>
      <c r="M735" t="s">
        <v>2243</v>
      </c>
      <c r="N735">
        <v>79</v>
      </c>
      <c r="O735" t="s">
        <v>2244</v>
      </c>
      <c r="P735" t="str">
        <f>RIGHT(RIGHT(Table2[[#This Row],[last Updated]],12),4)</f>
        <v xml:space="preserve"> PDT</v>
      </c>
      <c r="Q735" t="s">
        <v>793</v>
      </c>
    </row>
    <row r="736" spans="1:17" x14ac:dyDescent="0.25">
      <c r="A736" t="s">
        <v>56</v>
      </c>
      <c r="B736" t="str">
        <f>UPPER(Table2[[#This Row],[Brand]])</f>
        <v>RALPH LAUREN</v>
      </c>
      <c r="C736" t="str">
        <f>LOWER(Table2[[#This Row],[Brand]])</f>
        <v>ralph lauren</v>
      </c>
      <c r="D736" t="str">
        <f>PROPER(Table2[[#This Row],[Brand]])</f>
        <v>Ralph Lauren</v>
      </c>
      <c r="E736" t="s">
        <v>4</v>
      </c>
      <c r="F736">
        <v>12.99</v>
      </c>
      <c r="G736" t="s">
        <v>2245</v>
      </c>
      <c r="H73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$12.99</v>
      </c>
      <c r="I736" t="str">
        <f>LEFT(Table2[[#This Row],[priceWithCurrency]],3)</f>
        <v xml:space="preserve">US </v>
      </c>
      <c r="J736">
        <v>5</v>
      </c>
      <c r="K736" t="str">
        <f>IF(Table2[[#This Row],[Available]]&lt;=50, "Less Stock", "Required stock" )</f>
        <v>Less Stock</v>
      </c>
      <c r="L736">
        <f t="shared" si="11"/>
        <v>1134.7900000000002</v>
      </c>
      <c r="M736" t="s">
        <v>540</v>
      </c>
      <c r="N736">
        <v>5</v>
      </c>
      <c r="O736" t="s">
        <v>2246</v>
      </c>
      <c r="P736" t="str">
        <f>RIGHT(RIGHT(Table2[[#This Row],[last Updated]],12),4)</f>
        <v xml:space="preserve"> PDT</v>
      </c>
      <c r="Q736" t="s">
        <v>30</v>
      </c>
    </row>
    <row r="737" spans="1:17" x14ac:dyDescent="0.25">
      <c r="A737" t="s">
        <v>79</v>
      </c>
      <c r="B737" t="str">
        <f>UPPER(Table2[[#This Row],[Brand]])</f>
        <v>PACO RABANNE</v>
      </c>
      <c r="C737" t="str">
        <f>LOWER(Table2[[#This Row],[Brand]])</f>
        <v>paco rabanne</v>
      </c>
      <c r="D737" t="str">
        <f>PROPER(Table2[[#This Row],[Brand]])</f>
        <v>Paco Rabanne</v>
      </c>
      <c r="E737" t="s">
        <v>4</v>
      </c>
      <c r="F737">
        <v>108</v>
      </c>
      <c r="G737" t="s">
        <v>2247</v>
      </c>
      <c r="H73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$108.00</v>
      </c>
      <c r="I737" t="str">
        <f>LEFT(Table2[[#This Row],[priceWithCurrency]],3)</f>
        <v xml:space="preserve">US </v>
      </c>
      <c r="K737" t="str">
        <f>IF(Table2[[#This Row],[Available]]&lt;=50, "Less Stock", "Required stock" )</f>
        <v>Less Stock</v>
      </c>
      <c r="L737">
        <f t="shared" si="11"/>
        <v>37.269999999999996</v>
      </c>
      <c r="M737" t="s">
        <v>595</v>
      </c>
      <c r="N737">
        <v>10</v>
      </c>
      <c r="O737" t="s">
        <v>2248</v>
      </c>
      <c r="P737" t="str">
        <f>RIGHT(RIGHT(Table2[[#This Row],[last Updated]],12),4)</f>
        <v xml:space="preserve"> PDT</v>
      </c>
      <c r="Q737" t="s">
        <v>2249</v>
      </c>
    </row>
    <row r="738" spans="1:17" x14ac:dyDescent="0.25">
      <c r="A738" t="s">
        <v>2250</v>
      </c>
      <c r="B738" t="str">
        <f>UPPER(Table2[[#This Row],[Brand]])</f>
        <v>FC</v>
      </c>
      <c r="C738" t="str">
        <f>LOWER(Table2[[#This Row],[Brand]])</f>
        <v>fc</v>
      </c>
      <c r="D738" t="str">
        <f>PROPER(Table2[[#This Row],[Brand]])</f>
        <v>Fc</v>
      </c>
      <c r="E738" t="s">
        <v>32</v>
      </c>
      <c r="F738">
        <v>14.7</v>
      </c>
      <c r="G738" t="s">
        <v>2251</v>
      </c>
      <c r="H73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$14.70</v>
      </c>
      <c r="I738" t="str">
        <f>LEFT(Table2[[#This Row],[priceWithCurrency]],3)</f>
        <v xml:space="preserve">US </v>
      </c>
      <c r="J738">
        <v>10</v>
      </c>
      <c r="K738" t="str">
        <f>IF(Table2[[#This Row],[Available]]&lt;=50, "Less Stock", "Required stock" )</f>
        <v>Less Stock</v>
      </c>
      <c r="L738">
        <f t="shared" si="11"/>
        <v>1800.18</v>
      </c>
      <c r="M738" t="s">
        <v>2252</v>
      </c>
      <c r="N738">
        <v>119</v>
      </c>
      <c r="O738" t="s">
        <v>2253</v>
      </c>
      <c r="P738" t="str">
        <f>RIGHT(RIGHT(Table2[[#This Row],[last Updated]],12),4)</f>
        <v xml:space="preserve"> PDT</v>
      </c>
      <c r="Q738" t="s">
        <v>367</v>
      </c>
    </row>
    <row r="739" spans="1:17" x14ac:dyDescent="0.25">
      <c r="A739" t="s">
        <v>159</v>
      </c>
      <c r="B739" t="str">
        <f>UPPER(Table2[[#This Row],[Brand]])</f>
        <v>VALENTINO</v>
      </c>
      <c r="C739" t="str">
        <f>LOWER(Table2[[#This Row],[Brand]])</f>
        <v>valentino</v>
      </c>
      <c r="D739" t="str">
        <f>PROPER(Table2[[#This Row],[Brand]])</f>
        <v>Valentino</v>
      </c>
      <c r="E739" t="s">
        <v>15</v>
      </c>
      <c r="F739">
        <v>78.989999999999995</v>
      </c>
      <c r="G739" t="s">
        <v>1313</v>
      </c>
      <c r="H73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$78.99</v>
      </c>
      <c r="I739" t="str">
        <f>LEFT(Table2[[#This Row],[priceWithCurrency]],3)</f>
        <v xml:space="preserve">US </v>
      </c>
      <c r="J739">
        <v>10</v>
      </c>
      <c r="K739" t="str">
        <f>IF(Table2[[#This Row],[Available]]&lt;=50, "Less Stock", "Required stock" )</f>
        <v>Less Stock</v>
      </c>
      <c r="L739">
        <f t="shared" si="11"/>
        <v>1872.16</v>
      </c>
      <c r="M739" t="s">
        <v>17</v>
      </c>
      <c r="N739">
        <v>27</v>
      </c>
      <c r="O739" t="s">
        <v>2254</v>
      </c>
      <c r="P739" t="str">
        <f>RIGHT(RIGHT(Table2[[#This Row],[last Updated]],12),4)</f>
        <v xml:space="preserve"> PDT</v>
      </c>
      <c r="Q739" t="s">
        <v>2255</v>
      </c>
    </row>
    <row r="740" spans="1:17" x14ac:dyDescent="0.25">
      <c r="A740" t="s">
        <v>2256</v>
      </c>
      <c r="B740" t="str">
        <f>UPPER(Table2[[#This Row],[Brand]])</f>
        <v>PHEROMONES</v>
      </c>
      <c r="C740" t="str">
        <f>LOWER(Table2[[#This Row],[Brand]])</f>
        <v>pheromones</v>
      </c>
      <c r="D740" t="str">
        <f>PROPER(Table2[[#This Row],[Brand]])</f>
        <v>Pheromones</v>
      </c>
      <c r="E740" t="s">
        <v>15</v>
      </c>
      <c r="F740">
        <v>32.950000000000003</v>
      </c>
      <c r="G740" t="s">
        <v>2257</v>
      </c>
      <c r="H74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$32.95</v>
      </c>
      <c r="I740" t="str">
        <f>LEFT(Table2[[#This Row],[priceWithCurrency]],3)</f>
        <v xml:space="preserve">US </v>
      </c>
      <c r="J740">
        <v>10</v>
      </c>
      <c r="K740" t="str">
        <f>IF(Table2[[#This Row],[Available]]&lt;=50, "Less Stock", "Required stock" )</f>
        <v>Less Stock</v>
      </c>
      <c r="L740">
        <f t="shared" si="11"/>
        <v>1890.15</v>
      </c>
      <c r="M740" t="s">
        <v>2258</v>
      </c>
      <c r="N740">
        <v>217</v>
      </c>
      <c r="O740" t="s">
        <v>2259</v>
      </c>
      <c r="P740" t="str">
        <f>RIGHT(RIGHT(Table2[[#This Row],[last Updated]],12),4)</f>
        <v xml:space="preserve"> PDT</v>
      </c>
      <c r="Q740" t="s">
        <v>2260</v>
      </c>
    </row>
    <row r="741" spans="1:17" x14ac:dyDescent="0.25">
      <c r="A741" t="s">
        <v>79</v>
      </c>
      <c r="B741" t="str">
        <f>UPPER(Table2[[#This Row],[Brand]])</f>
        <v>PACO RABANNE</v>
      </c>
      <c r="C741" t="str">
        <f>LOWER(Table2[[#This Row],[Brand]])</f>
        <v>paco rabanne</v>
      </c>
      <c r="D741" t="str">
        <f>PROPER(Table2[[#This Row],[Brand]])</f>
        <v>Paco Rabanne</v>
      </c>
      <c r="E741" t="s">
        <v>15</v>
      </c>
      <c r="F741">
        <v>18.989999999999998</v>
      </c>
      <c r="G741" t="s">
        <v>1032</v>
      </c>
      <c r="H74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$18.99</v>
      </c>
      <c r="I741" t="str">
        <f>LEFT(Table2[[#This Row],[priceWithCurrency]],3)</f>
        <v xml:space="preserve">US </v>
      </c>
      <c r="J741">
        <v>10</v>
      </c>
      <c r="K741" t="str">
        <f>IF(Table2[[#This Row],[Available]]&lt;=50, "Less Stock", "Required stock" )</f>
        <v>Less Stock</v>
      </c>
      <c r="L741">
        <f t="shared" si="11"/>
        <v>1254.83</v>
      </c>
      <c r="M741" t="s">
        <v>975</v>
      </c>
      <c r="N741">
        <v>38</v>
      </c>
      <c r="O741" t="s">
        <v>2261</v>
      </c>
      <c r="P741" t="str">
        <f>RIGHT(RIGHT(Table2[[#This Row],[last Updated]],12),4)</f>
        <v xml:space="preserve"> PDT</v>
      </c>
      <c r="Q741" t="s">
        <v>30</v>
      </c>
    </row>
    <row r="742" spans="1:17" x14ac:dyDescent="0.25">
      <c r="A742" t="s">
        <v>2262</v>
      </c>
      <c r="B742" t="str">
        <f>UPPER(Table2[[#This Row],[Brand]])</f>
        <v>CARTIER</v>
      </c>
      <c r="C742" t="str">
        <f>LOWER(Table2[[#This Row],[Brand]])</f>
        <v>cartier</v>
      </c>
      <c r="D742" t="str">
        <f>PROPER(Table2[[#This Row],[Brand]])</f>
        <v>Cartier</v>
      </c>
      <c r="E742" t="s">
        <v>15</v>
      </c>
      <c r="F742">
        <v>59.63</v>
      </c>
      <c r="G742" t="s">
        <v>2263</v>
      </c>
      <c r="H74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$59.63</v>
      </c>
      <c r="I742" t="str">
        <f>LEFT(Table2[[#This Row],[priceWithCurrency]],3)</f>
        <v xml:space="preserve">US </v>
      </c>
      <c r="J742">
        <v>24</v>
      </c>
      <c r="K742" t="str">
        <f>IF(Table2[[#This Row],[Available]]&lt;=50, "Less Stock", "Required stock" )</f>
        <v>Less Stock</v>
      </c>
      <c r="L742">
        <f t="shared" si="11"/>
        <v>1844.17</v>
      </c>
      <c r="M742" t="s">
        <v>2264</v>
      </c>
      <c r="N742">
        <v>48</v>
      </c>
      <c r="O742" t="s">
        <v>2265</v>
      </c>
      <c r="P742" t="str">
        <f>RIGHT(RIGHT(Table2[[#This Row],[last Updated]],12),4)</f>
        <v xml:space="preserve"> PDT</v>
      </c>
      <c r="Q742" t="s">
        <v>121</v>
      </c>
    </row>
    <row r="743" spans="1:17" x14ac:dyDescent="0.25">
      <c r="A743" t="s">
        <v>705</v>
      </c>
      <c r="B743" t="str">
        <f>UPPER(Table2[[#This Row],[Brand]])</f>
        <v>HUGO BOSS</v>
      </c>
      <c r="C743" t="str">
        <f>LOWER(Table2[[#This Row],[Brand]])</f>
        <v>hugo boss</v>
      </c>
      <c r="D743" t="str">
        <f>PROPER(Table2[[#This Row],[Brand]])</f>
        <v>Hugo Boss</v>
      </c>
      <c r="E743" t="s">
        <v>15</v>
      </c>
      <c r="F743">
        <v>44.93</v>
      </c>
      <c r="G743" t="s">
        <v>2266</v>
      </c>
      <c r="H74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$44.93</v>
      </c>
      <c r="I743" t="str">
        <f>LEFT(Table2[[#This Row],[priceWithCurrency]],3)</f>
        <v xml:space="preserve">US </v>
      </c>
      <c r="J743">
        <v>26</v>
      </c>
      <c r="K743" t="str">
        <f>IF(Table2[[#This Row],[Available]]&lt;=50, "Less Stock", "Required stock" )</f>
        <v>Less Stock</v>
      </c>
      <c r="L743">
        <f t="shared" si="11"/>
        <v>1787.15</v>
      </c>
      <c r="M743" t="s">
        <v>2267</v>
      </c>
      <c r="N743">
        <v>2098</v>
      </c>
      <c r="O743" t="s">
        <v>2268</v>
      </c>
      <c r="P743" t="str">
        <f>RIGHT(RIGHT(Table2[[#This Row],[last Updated]],12),4)</f>
        <v xml:space="preserve"> PDT</v>
      </c>
      <c r="Q743" t="s">
        <v>121</v>
      </c>
    </row>
    <row r="744" spans="1:17" x14ac:dyDescent="0.25">
      <c r="A744" t="s">
        <v>90</v>
      </c>
      <c r="B744" t="str">
        <f>UPPER(Table2[[#This Row],[Brand]])</f>
        <v>ARMAF</v>
      </c>
      <c r="C744" t="str">
        <f>LOWER(Table2[[#This Row],[Brand]])</f>
        <v>armaf</v>
      </c>
      <c r="D744" t="str">
        <f>PROPER(Table2[[#This Row],[Brand]])</f>
        <v>Armaf</v>
      </c>
      <c r="E744" t="s">
        <v>15</v>
      </c>
      <c r="F744">
        <v>30.31</v>
      </c>
      <c r="G744" t="s">
        <v>2269</v>
      </c>
      <c r="H74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$30.31</v>
      </c>
      <c r="I744" t="str">
        <f>LEFT(Table2[[#This Row],[priceWithCurrency]],3)</f>
        <v xml:space="preserve">US </v>
      </c>
      <c r="J744">
        <v>10</v>
      </c>
      <c r="K744" t="str">
        <f>IF(Table2[[#This Row],[Available]]&lt;=50, "Less Stock", "Required stock" )</f>
        <v>Less Stock</v>
      </c>
      <c r="L744">
        <f t="shared" si="11"/>
        <v>1744.14</v>
      </c>
      <c r="M744" t="s">
        <v>1405</v>
      </c>
      <c r="N744">
        <v>17</v>
      </c>
      <c r="O744" t="s">
        <v>2270</v>
      </c>
      <c r="P744" t="str">
        <f>RIGHT(RIGHT(Table2[[#This Row],[last Updated]],12),4)</f>
        <v xml:space="preserve"> PDT</v>
      </c>
      <c r="Q744" t="s">
        <v>1948</v>
      </c>
    </row>
    <row r="745" spans="1:17" x14ac:dyDescent="0.25">
      <c r="A745" t="s">
        <v>373</v>
      </c>
      <c r="B745" t="str">
        <f>UPPER(Table2[[#This Row],[Brand]])</f>
        <v>ABERCROMBIE &amp; FITCH</v>
      </c>
      <c r="C745" t="str">
        <f>LOWER(Table2[[#This Row],[Brand]])</f>
        <v>abercrombie &amp; fitch</v>
      </c>
      <c r="D745" t="str">
        <f>PROPER(Table2[[#This Row],[Brand]])</f>
        <v>Abercrombie &amp; Fitch</v>
      </c>
      <c r="E745" t="s">
        <v>374</v>
      </c>
      <c r="F745">
        <v>49.99</v>
      </c>
      <c r="G745" t="s">
        <v>52</v>
      </c>
      <c r="H74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$49.99</v>
      </c>
      <c r="I745" t="str">
        <f>LEFT(Table2[[#This Row],[priceWithCurrency]],3)</f>
        <v xml:space="preserve">US </v>
      </c>
      <c r="J745">
        <v>10</v>
      </c>
      <c r="K745" t="str">
        <f>IF(Table2[[#This Row],[Available]]&lt;=50, "Less Stock", "Required stock" )</f>
        <v>Less Stock</v>
      </c>
      <c r="L745">
        <f t="shared" si="11"/>
        <v>1273.72</v>
      </c>
      <c r="M745" t="s">
        <v>2271</v>
      </c>
      <c r="N745">
        <v>381</v>
      </c>
      <c r="O745" t="s">
        <v>2272</v>
      </c>
      <c r="P745" t="str">
        <f>RIGHT(RIGHT(Table2[[#This Row],[last Updated]],12),4)</f>
        <v xml:space="preserve"> PDT</v>
      </c>
      <c r="Q745" t="s">
        <v>1143</v>
      </c>
    </row>
    <row r="746" spans="1:17" x14ac:dyDescent="0.25">
      <c r="A746" t="s">
        <v>3</v>
      </c>
      <c r="B746" t="str">
        <f>UPPER(Table2[[#This Row],[Brand]])</f>
        <v>DIOR</v>
      </c>
      <c r="C746" t="str">
        <f>LOWER(Table2[[#This Row],[Brand]])</f>
        <v>dior</v>
      </c>
      <c r="D746" t="str">
        <f>PROPER(Table2[[#This Row],[Brand]])</f>
        <v>Dior</v>
      </c>
      <c r="E746" t="s">
        <v>2273</v>
      </c>
      <c r="F746">
        <v>88.99</v>
      </c>
      <c r="G746" t="s">
        <v>2274</v>
      </c>
      <c r="H74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$88.99</v>
      </c>
      <c r="I746" t="str">
        <f>LEFT(Table2[[#This Row],[priceWithCurrency]],3)</f>
        <v xml:space="preserve">US </v>
      </c>
      <c r="J746">
        <v>5</v>
      </c>
      <c r="K746" t="str">
        <f>IF(Table2[[#This Row],[Available]]&lt;=50, "Less Stock", "Required stock" )</f>
        <v>Less Stock</v>
      </c>
      <c r="L746">
        <f t="shared" si="11"/>
        <v>1273.72</v>
      </c>
      <c r="M746" t="s">
        <v>955</v>
      </c>
      <c r="N746">
        <v>4</v>
      </c>
      <c r="O746" t="s">
        <v>2275</v>
      </c>
      <c r="P746" t="str">
        <f>RIGHT(RIGHT(Table2[[#This Row],[last Updated]],12),4)</f>
        <v xml:space="preserve"> PDT</v>
      </c>
      <c r="Q746" t="s">
        <v>2276</v>
      </c>
    </row>
    <row r="747" spans="1:17" x14ac:dyDescent="0.25">
      <c r="A747" t="s">
        <v>79</v>
      </c>
      <c r="B747" t="str">
        <f>UPPER(Table2[[#This Row],[Brand]])</f>
        <v>PACO RABANNE</v>
      </c>
      <c r="C747" t="str">
        <f>LOWER(Table2[[#This Row],[Brand]])</f>
        <v>paco rabanne</v>
      </c>
      <c r="D747" t="str">
        <f>PROPER(Table2[[#This Row],[Brand]])</f>
        <v>Paco Rabanne</v>
      </c>
      <c r="E747" t="s">
        <v>2277</v>
      </c>
      <c r="F747">
        <v>20</v>
      </c>
      <c r="G747" t="s">
        <v>2278</v>
      </c>
      <c r="H74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$20.00</v>
      </c>
      <c r="I747" t="str">
        <f>LEFT(Table2[[#This Row],[priceWithCurrency]],3)</f>
        <v xml:space="preserve">US </v>
      </c>
      <c r="J747">
        <v>7</v>
      </c>
      <c r="K747" t="str">
        <f>IF(Table2[[#This Row],[Available]]&lt;=50, "Less Stock", "Required stock" )</f>
        <v>Less Stock</v>
      </c>
      <c r="L747">
        <f t="shared" si="11"/>
        <v>1755.7300000000002</v>
      </c>
      <c r="M747" t="s">
        <v>2279</v>
      </c>
      <c r="N747">
        <v>2</v>
      </c>
      <c r="O747" t="s">
        <v>2280</v>
      </c>
      <c r="P747" t="str">
        <f>RIGHT(RIGHT(Table2[[#This Row],[last Updated]],12),4)</f>
        <v xml:space="preserve"> PDT</v>
      </c>
      <c r="Q747" t="s">
        <v>2281</v>
      </c>
    </row>
    <row r="748" spans="1:17" x14ac:dyDescent="0.25">
      <c r="A748" t="s">
        <v>2282</v>
      </c>
      <c r="B748" t="str">
        <f>UPPER(Table2[[#This Row],[Brand]])</f>
        <v>ASSORTED</v>
      </c>
      <c r="C748" t="str">
        <f>LOWER(Table2[[#This Row],[Brand]])</f>
        <v>assorted</v>
      </c>
      <c r="D748" t="str">
        <f>PROPER(Table2[[#This Row],[Brand]])</f>
        <v>Assorted</v>
      </c>
      <c r="E748" t="s">
        <v>2282</v>
      </c>
      <c r="F748">
        <v>17.95</v>
      </c>
      <c r="G748" t="s">
        <v>2283</v>
      </c>
      <c r="H74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$17.95</v>
      </c>
      <c r="I748" t="str">
        <f>LEFT(Table2[[#This Row],[priceWithCurrency]],3)</f>
        <v xml:space="preserve">US </v>
      </c>
      <c r="K748" t="str">
        <f>IF(Table2[[#This Row],[Available]]&lt;=50, "Less Stock", "Required stock" )</f>
        <v>Less Stock</v>
      </c>
      <c r="L748">
        <f t="shared" si="11"/>
        <v>1790.7200000000003</v>
      </c>
      <c r="M748" t="s">
        <v>2284</v>
      </c>
      <c r="N748">
        <v>4</v>
      </c>
      <c r="O748" t="s">
        <v>2285</v>
      </c>
      <c r="P748" t="str">
        <f>RIGHT(RIGHT(Table2[[#This Row],[last Updated]],12),4)</f>
        <v xml:space="preserve"> PDT</v>
      </c>
      <c r="Q748" t="s">
        <v>2286</v>
      </c>
    </row>
    <row r="749" spans="1:17" x14ac:dyDescent="0.25">
      <c r="A749" t="s">
        <v>79</v>
      </c>
      <c r="B749" t="str">
        <f>UPPER(Table2[[#This Row],[Brand]])</f>
        <v>PACO RABANNE</v>
      </c>
      <c r="C749" t="str">
        <f>LOWER(Table2[[#This Row],[Brand]])</f>
        <v>paco rabanne</v>
      </c>
      <c r="D749" t="str">
        <f>PROPER(Table2[[#This Row],[Brand]])</f>
        <v>Paco Rabanne</v>
      </c>
      <c r="E749" t="s">
        <v>15</v>
      </c>
      <c r="F749">
        <v>39.99</v>
      </c>
      <c r="G749" t="s">
        <v>96</v>
      </c>
      <c r="H74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$39.99</v>
      </c>
      <c r="I749" t="str">
        <f>LEFT(Table2[[#This Row],[priceWithCurrency]],3)</f>
        <v xml:space="preserve">US </v>
      </c>
      <c r="J749">
        <v>7</v>
      </c>
      <c r="K749" t="str">
        <f>IF(Table2[[#This Row],[Available]]&lt;=50, "Less Stock", "Required stock" )</f>
        <v>Less Stock</v>
      </c>
      <c r="L749">
        <f t="shared" si="11"/>
        <v>90.97999999999999</v>
      </c>
      <c r="M749" t="s">
        <v>2287</v>
      </c>
      <c r="N749">
        <v>40</v>
      </c>
      <c r="O749" t="s">
        <v>2288</v>
      </c>
      <c r="P749" t="str">
        <f>RIGHT(RIGHT(Table2[[#This Row],[last Updated]],12),4)</f>
        <v xml:space="preserve"> PDT</v>
      </c>
      <c r="Q749" t="s">
        <v>99</v>
      </c>
    </row>
    <row r="750" spans="1:17" x14ac:dyDescent="0.25">
      <c r="A750" t="s">
        <v>2289</v>
      </c>
      <c r="B750" t="str">
        <f>UPPER(Table2[[#This Row],[Brand]])</f>
        <v>HINODE</v>
      </c>
      <c r="C750" t="str">
        <f>LOWER(Table2[[#This Row],[Brand]])</f>
        <v>hinode</v>
      </c>
      <c r="D750" t="str">
        <f>PROPER(Table2[[#This Row],[Brand]])</f>
        <v>Hinode</v>
      </c>
      <c r="E750" t="s">
        <v>4</v>
      </c>
      <c r="F750">
        <v>99</v>
      </c>
      <c r="G750" t="s">
        <v>2290</v>
      </c>
      <c r="H75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$99.00</v>
      </c>
      <c r="I750" t="str">
        <f>LEFT(Table2[[#This Row],[priceWithCurrency]],3)</f>
        <v xml:space="preserve">US </v>
      </c>
      <c r="J750">
        <v>8</v>
      </c>
      <c r="K750" t="str">
        <f>IF(Table2[[#This Row],[Available]]&lt;=50, "Less Stock", "Required stock" )</f>
        <v>Less Stock</v>
      </c>
      <c r="L750">
        <f t="shared" si="11"/>
        <v>66.55</v>
      </c>
      <c r="M750" t="s">
        <v>2291</v>
      </c>
      <c r="N750">
        <v>177</v>
      </c>
      <c r="O750" t="s">
        <v>2292</v>
      </c>
      <c r="P750" t="str">
        <f>RIGHT(RIGHT(Table2[[#This Row],[last Updated]],12),4)</f>
        <v xml:space="preserve"> PDT</v>
      </c>
      <c r="Q750" t="s">
        <v>2293</v>
      </c>
    </row>
    <row r="751" spans="1:17" x14ac:dyDescent="0.25">
      <c r="A751" t="s">
        <v>14</v>
      </c>
      <c r="B751" t="str">
        <f>UPPER(Table2[[#This Row],[Brand]])</f>
        <v>UNBRANDED</v>
      </c>
      <c r="C751" t="str">
        <f>LOWER(Table2[[#This Row],[Brand]])</f>
        <v>unbranded</v>
      </c>
      <c r="D751" t="str">
        <f>PROPER(Table2[[#This Row],[Brand]])</f>
        <v>Unbranded</v>
      </c>
      <c r="E751" t="s">
        <v>32</v>
      </c>
      <c r="F751">
        <v>15.99</v>
      </c>
      <c r="G751" t="s">
        <v>67</v>
      </c>
      <c r="H75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$15.99</v>
      </c>
      <c r="I751" t="str">
        <f>LEFT(Table2[[#This Row],[priceWithCurrency]],3)</f>
        <v xml:space="preserve">US </v>
      </c>
      <c r="J751">
        <v>10</v>
      </c>
      <c r="K751" t="str">
        <f>IF(Table2[[#This Row],[Available]]&lt;=50, "Less Stock", "Required stock" )</f>
        <v>Less Stock</v>
      </c>
      <c r="L751">
        <f t="shared" si="11"/>
        <v>1794.42</v>
      </c>
      <c r="M751" t="s">
        <v>783</v>
      </c>
      <c r="N751">
        <v>65</v>
      </c>
      <c r="O751" t="s">
        <v>2294</v>
      </c>
      <c r="P751" t="str">
        <f>RIGHT(RIGHT(Table2[[#This Row],[last Updated]],12),4)</f>
        <v xml:space="preserve"> PDT</v>
      </c>
      <c r="Q751" t="s">
        <v>36</v>
      </c>
    </row>
    <row r="752" spans="1:17" x14ac:dyDescent="0.25">
      <c r="A752" t="s">
        <v>500</v>
      </c>
      <c r="B752" t="str">
        <f>UPPER(Table2[[#This Row],[Brand]])</f>
        <v>DOSSIER</v>
      </c>
      <c r="C752" t="str">
        <f>LOWER(Table2[[#This Row],[Brand]])</f>
        <v>dossier</v>
      </c>
      <c r="D752" t="str">
        <f>PROPER(Table2[[#This Row],[Brand]])</f>
        <v>Dossier</v>
      </c>
      <c r="E752" t="s">
        <v>4</v>
      </c>
      <c r="F752">
        <v>20</v>
      </c>
      <c r="G752" t="s">
        <v>501</v>
      </c>
      <c r="H75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$20.00</v>
      </c>
      <c r="I752" t="str">
        <f>LEFT(Table2[[#This Row],[priceWithCurrency]],3)</f>
        <v xml:space="preserve">US </v>
      </c>
      <c r="J752">
        <v>10</v>
      </c>
      <c r="K752" t="str">
        <f>IF(Table2[[#This Row],[Available]]&lt;=50, "Less Stock", "Required stock" )</f>
        <v>Less Stock</v>
      </c>
      <c r="L752">
        <f t="shared" si="11"/>
        <v>1794.42</v>
      </c>
      <c r="M752" t="s">
        <v>474</v>
      </c>
      <c r="N752">
        <v>16</v>
      </c>
      <c r="O752" t="s">
        <v>2295</v>
      </c>
      <c r="P752" t="str">
        <f>RIGHT(RIGHT(Table2[[#This Row],[last Updated]],12),4)</f>
        <v xml:space="preserve"> PDT</v>
      </c>
      <c r="Q752" t="s">
        <v>503</v>
      </c>
    </row>
    <row r="753" spans="1:17" x14ac:dyDescent="0.25">
      <c r="A753" t="s">
        <v>56</v>
      </c>
      <c r="B753" t="str">
        <f>UPPER(Table2[[#This Row],[Brand]])</f>
        <v>RALPH LAUREN</v>
      </c>
      <c r="C753" t="str">
        <f>LOWER(Table2[[#This Row],[Brand]])</f>
        <v>ralph lauren</v>
      </c>
      <c r="D753" t="str">
        <f>PROPER(Table2[[#This Row],[Brand]])</f>
        <v>Ralph Lauren</v>
      </c>
      <c r="E753" t="s">
        <v>15</v>
      </c>
      <c r="F753">
        <v>41.95</v>
      </c>
      <c r="G753" t="s">
        <v>2296</v>
      </c>
      <c r="H75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$41.95</v>
      </c>
      <c r="I753" t="str">
        <f>LEFT(Table2[[#This Row],[priceWithCurrency]],3)</f>
        <v xml:space="preserve">US </v>
      </c>
      <c r="J753">
        <v>7</v>
      </c>
      <c r="K753" t="str">
        <f>IF(Table2[[#This Row],[Available]]&lt;=50, "Less Stock", "Required stock" )</f>
        <v>Less Stock</v>
      </c>
      <c r="L753">
        <f t="shared" si="11"/>
        <v>1328.38</v>
      </c>
      <c r="M753" t="s">
        <v>2115</v>
      </c>
      <c r="N753">
        <v>37</v>
      </c>
      <c r="O753" t="s">
        <v>2297</v>
      </c>
      <c r="P753" t="str">
        <f>RIGHT(RIGHT(Table2[[#This Row],[last Updated]],12),4)</f>
        <v xml:space="preserve"> PDT</v>
      </c>
      <c r="Q753" t="s">
        <v>84</v>
      </c>
    </row>
    <row r="754" spans="1:17" x14ac:dyDescent="0.25">
      <c r="A754" t="s">
        <v>586</v>
      </c>
      <c r="B754" t="str">
        <f>UPPER(Table2[[#This Row],[Brand]])</f>
        <v>PARFUMS DE MARLY</v>
      </c>
      <c r="C754" t="str">
        <f>LOWER(Table2[[#This Row],[Brand]])</f>
        <v>parfums de marly</v>
      </c>
      <c r="D754" t="str">
        <f>PROPER(Table2[[#This Row],[Brand]])</f>
        <v>Parfums De Marly</v>
      </c>
      <c r="E754" t="s">
        <v>4</v>
      </c>
      <c r="F754">
        <v>19.989999999999998</v>
      </c>
      <c r="G754" t="s">
        <v>1113</v>
      </c>
      <c r="H75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$19.99</v>
      </c>
      <c r="I754" t="str">
        <f>LEFT(Table2[[#This Row],[priceWithCurrency]],3)</f>
        <v xml:space="preserve">US </v>
      </c>
      <c r="J754">
        <v>4</v>
      </c>
      <c r="K754" t="str">
        <f>IF(Table2[[#This Row],[Available]]&lt;=50, "Less Stock", "Required stock" )</f>
        <v>Less Stock</v>
      </c>
      <c r="L754">
        <f t="shared" si="11"/>
        <v>445.24</v>
      </c>
      <c r="M754" t="s">
        <v>952</v>
      </c>
      <c r="N754">
        <v>6</v>
      </c>
      <c r="P754" t="str">
        <f>RIGHT(RIGHT(Table2[[#This Row],[last Updated]],12),4)</f>
        <v/>
      </c>
      <c r="Q754" t="s">
        <v>30</v>
      </c>
    </row>
    <row r="755" spans="1:17" x14ac:dyDescent="0.25">
      <c r="A755" t="s">
        <v>799</v>
      </c>
      <c r="B755" t="str">
        <f>UPPER(Table2[[#This Row],[Brand]])</f>
        <v>CREED</v>
      </c>
      <c r="C755" t="str">
        <f>LOWER(Table2[[#This Row],[Brand]])</f>
        <v>creed</v>
      </c>
      <c r="D755" t="str">
        <f>PROPER(Table2[[#This Row],[Brand]])</f>
        <v>Creed</v>
      </c>
      <c r="E755" t="s">
        <v>4</v>
      </c>
      <c r="F755">
        <v>38.99</v>
      </c>
      <c r="G755" t="s">
        <v>763</v>
      </c>
      <c r="H75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$38.99</v>
      </c>
      <c r="I755" t="str">
        <f>LEFT(Table2[[#This Row],[priceWithCurrency]],3)</f>
        <v xml:space="preserve">US </v>
      </c>
      <c r="J755">
        <v>10</v>
      </c>
      <c r="K755" t="str">
        <f>IF(Table2[[#This Row],[Available]]&lt;=50, "Less Stock", "Required stock" )</f>
        <v>Less Stock</v>
      </c>
      <c r="L755">
        <f t="shared" si="11"/>
        <v>55.45</v>
      </c>
      <c r="M755" t="s">
        <v>2298</v>
      </c>
      <c r="N755">
        <v>20</v>
      </c>
      <c r="O755" t="s">
        <v>2299</v>
      </c>
      <c r="P755" t="str">
        <f>RIGHT(RIGHT(Table2[[#This Row],[last Updated]],12),4)</f>
        <v xml:space="preserve"> PDT</v>
      </c>
      <c r="Q755" t="s">
        <v>30</v>
      </c>
    </row>
    <row r="756" spans="1:17" x14ac:dyDescent="0.25">
      <c r="A756" t="s">
        <v>61</v>
      </c>
      <c r="B756" t="str">
        <f>UPPER(Table2[[#This Row],[Brand]])</f>
        <v>DOLCE&amp;GABBANA</v>
      </c>
      <c r="C756" t="str">
        <f>LOWER(Table2[[#This Row],[Brand]])</f>
        <v>dolce&amp;gabbana</v>
      </c>
      <c r="D756" t="str">
        <f>PROPER(Table2[[#This Row],[Brand]])</f>
        <v>Dolce&amp;Gabbana</v>
      </c>
      <c r="E756" t="s">
        <v>4</v>
      </c>
      <c r="F756">
        <v>55.15</v>
      </c>
      <c r="G756" t="s">
        <v>2300</v>
      </c>
      <c r="H75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$55.15</v>
      </c>
      <c r="I756" t="str">
        <f>LEFT(Table2[[#This Row],[priceWithCurrency]],3)</f>
        <v xml:space="preserve">US </v>
      </c>
      <c r="J756">
        <v>5</v>
      </c>
      <c r="K756" t="str">
        <f>IF(Table2[[#This Row],[Available]]&lt;=50, "Less Stock", "Required stock" )</f>
        <v>Less Stock</v>
      </c>
      <c r="L756">
        <f t="shared" si="11"/>
        <v>1694.9300000000003</v>
      </c>
      <c r="M756" t="s">
        <v>2301</v>
      </c>
      <c r="N756">
        <v>64</v>
      </c>
      <c r="O756" t="s">
        <v>2302</v>
      </c>
      <c r="P756" t="str">
        <f>RIGHT(RIGHT(Table2[[#This Row],[last Updated]],12),4)</f>
        <v xml:space="preserve"> PDT</v>
      </c>
      <c r="Q756" t="s">
        <v>108</v>
      </c>
    </row>
    <row r="757" spans="1:17" x14ac:dyDescent="0.25">
      <c r="A757" t="s">
        <v>61</v>
      </c>
      <c r="B757" t="str">
        <f>UPPER(Table2[[#This Row],[Brand]])</f>
        <v>DOLCE&amp;GABBANA</v>
      </c>
      <c r="C757" t="str">
        <f>LOWER(Table2[[#This Row],[Brand]])</f>
        <v>dolce&amp;gabbana</v>
      </c>
      <c r="D757" t="str">
        <f>PROPER(Table2[[#This Row],[Brand]])</f>
        <v>Dolce&amp;Gabbana</v>
      </c>
      <c r="E757" t="s">
        <v>4</v>
      </c>
      <c r="F757">
        <v>74.48</v>
      </c>
      <c r="G757" t="s">
        <v>2303</v>
      </c>
      <c r="H75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$74.48</v>
      </c>
      <c r="I757" t="str">
        <f>LEFT(Table2[[#This Row],[priceWithCurrency]],3)</f>
        <v xml:space="preserve">US </v>
      </c>
      <c r="J757">
        <v>10</v>
      </c>
      <c r="K757" t="str">
        <f>IF(Table2[[#This Row],[Available]]&lt;=50, "Less Stock", "Required stock" )</f>
        <v>Less Stock</v>
      </c>
      <c r="L757">
        <f t="shared" si="11"/>
        <v>1694.9300000000003</v>
      </c>
      <c r="M757" t="s">
        <v>2304</v>
      </c>
      <c r="N757">
        <v>5</v>
      </c>
      <c r="O757" t="s">
        <v>2305</v>
      </c>
      <c r="P757" t="str">
        <f>RIGHT(RIGHT(Table2[[#This Row],[last Updated]],12),4)</f>
        <v xml:space="preserve"> PDT</v>
      </c>
      <c r="Q757" t="s">
        <v>131</v>
      </c>
    </row>
    <row r="758" spans="1:17" x14ac:dyDescent="0.25">
      <c r="A758" t="s">
        <v>25</v>
      </c>
      <c r="B758" t="str">
        <f>UPPER(Table2[[#This Row],[Brand]])</f>
        <v>LATTAFA</v>
      </c>
      <c r="C758" t="str">
        <f>LOWER(Table2[[#This Row],[Brand]])</f>
        <v>lattafa</v>
      </c>
      <c r="D758" t="str">
        <f>PROPER(Table2[[#This Row],[Brand]])</f>
        <v>Lattafa</v>
      </c>
      <c r="E758" t="s">
        <v>26</v>
      </c>
      <c r="F758">
        <v>33.49</v>
      </c>
      <c r="G758" t="s">
        <v>2306</v>
      </c>
      <c r="H75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$33.49</v>
      </c>
      <c r="I758" t="str">
        <f>LEFT(Table2[[#This Row],[priceWithCurrency]],3)</f>
        <v xml:space="preserve">US </v>
      </c>
      <c r="J758">
        <v>3</v>
      </c>
      <c r="K758" t="str">
        <f>IF(Table2[[#This Row],[Available]]&lt;=50, "Less Stock", "Required stock" )</f>
        <v>Less Stock</v>
      </c>
      <c r="L758">
        <f t="shared" si="11"/>
        <v>1303.56</v>
      </c>
      <c r="M758" t="s">
        <v>781</v>
      </c>
      <c r="N758">
        <v>4</v>
      </c>
      <c r="O758" t="s">
        <v>2307</v>
      </c>
      <c r="P758" t="str">
        <f>RIGHT(RIGHT(Table2[[#This Row],[last Updated]],12),4)</f>
        <v xml:space="preserve"> PDT</v>
      </c>
      <c r="Q758" t="s">
        <v>30</v>
      </c>
    </row>
    <row r="759" spans="1:17" x14ac:dyDescent="0.25">
      <c r="A759" t="s">
        <v>352</v>
      </c>
      <c r="B759" t="str">
        <f>UPPER(Table2[[#This Row],[Brand]])</f>
        <v>ROJA</v>
      </c>
      <c r="C759" t="str">
        <f>LOWER(Table2[[#This Row],[Brand]])</f>
        <v>roja</v>
      </c>
      <c r="D759" t="str">
        <f>PROPER(Table2[[#This Row],[Brand]])</f>
        <v>Roja</v>
      </c>
      <c r="E759" t="s">
        <v>374</v>
      </c>
      <c r="F759">
        <v>17.89</v>
      </c>
      <c r="G759" t="s">
        <v>2308</v>
      </c>
      <c r="H75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$17.89</v>
      </c>
      <c r="I759" t="str">
        <f>LEFT(Table2[[#This Row],[priceWithCurrency]],3)</f>
        <v xml:space="preserve">US </v>
      </c>
      <c r="J759">
        <v>5</v>
      </c>
      <c r="K759" t="str">
        <f>IF(Table2[[#This Row],[Available]]&lt;=50, "Less Stock", "Required stock" )</f>
        <v>Less Stock</v>
      </c>
      <c r="L759">
        <f t="shared" si="11"/>
        <v>1875.1000000000004</v>
      </c>
      <c r="M759" t="s">
        <v>2309</v>
      </c>
      <c r="N759">
        <v>68</v>
      </c>
      <c r="O759" t="s">
        <v>2310</v>
      </c>
      <c r="P759" t="str">
        <f>RIGHT(RIGHT(Table2[[#This Row],[last Updated]],12),4)</f>
        <v xml:space="preserve"> PDT</v>
      </c>
      <c r="Q759" t="s">
        <v>894</v>
      </c>
    </row>
    <row r="760" spans="1:17" x14ac:dyDescent="0.25">
      <c r="A760" t="s">
        <v>51</v>
      </c>
      <c r="B760" t="str">
        <f>UPPER(Table2[[#This Row],[Brand]])</f>
        <v>GUCCI</v>
      </c>
      <c r="C760" t="str">
        <f>LOWER(Table2[[#This Row],[Brand]])</f>
        <v>gucci</v>
      </c>
      <c r="D760" t="str">
        <f>PROPER(Table2[[#This Row],[Brand]])</f>
        <v>Gucci</v>
      </c>
      <c r="E760" t="s">
        <v>15</v>
      </c>
      <c r="F760">
        <v>58.46</v>
      </c>
      <c r="G760" t="s">
        <v>2311</v>
      </c>
      <c r="H76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$58.46</v>
      </c>
      <c r="I760" t="str">
        <f>LEFT(Table2[[#This Row],[priceWithCurrency]],3)</f>
        <v xml:space="preserve">US </v>
      </c>
      <c r="K760" t="str">
        <f>IF(Table2[[#This Row],[Available]]&lt;=50, "Less Stock", "Required stock" )</f>
        <v>Less Stock</v>
      </c>
      <c r="L760">
        <f t="shared" si="11"/>
        <v>1875.1000000000004</v>
      </c>
      <c r="M760" t="s">
        <v>2312</v>
      </c>
      <c r="N760">
        <v>5227</v>
      </c>
      <c r="O760" t="s">
        <v>2313</v>
      </c>
      <c r="P760" t="str">
        <f>RIGHT(RIGHT(Table2[[#This Row],[last Updated]],12),4)</f>
        <v xml:space="preserve"> PDT</v>
      </c>
      <c r="Q760" t="s">
        <v>108</v>
      </c>
    </row>
    <row r="761" spans="1:17" x14ac:dyDescent="0.25">
      <c r="A761" t="s">
        <v>586</v>
      </c>
      <c r="B761" t="str">
        <f>UPPER(Table2[[#This Row],[Brand]])</f>
        <v>PARFUMS DE MARLY</v>
      </c>
      <c r="C761" t="str">
        <f>LOWER(Table2[[#This Row],[Brand]])</f>
        <v>parfums de marly</v>
      </c>
      <c r="D761" t="str">
        <f>PROPER(Table2[[#This Row],[Brand]])</f>
        <v>Parfums De Marly</v>
      </c>
      <c r="E761" t="s">
        <v>4</v>
      </c>
      <c r="F761">
        <v>91.98</v>
      </c>
      <c r="G761" t="s">
        <v>2314</v>
      </c>
      <c r="H76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$91.98</v>
      </c>
      <c r="I761" t="str">
        <f>LEFT(Table2[[#This Row],[priceWithCurrency]],3)</f>
        <v xml:space="preserve">US </v>
      </c>
      <c r="K761" t="str">
        <f>IF(Table2[[#This Row],[Available]]&lt;=50, "Less Stock", "Required stock" )</f>
        <v>Less Stock</v>
      </c>
      <c r="L761">
        <f t="shared" si="11"/>
        <v>413.67</v>
      </c>
      <c r="M761" t="s">
        <v>1617</v>
      </c>
      <c r="N761">
        <v>7</v>
      </c>
      <c r="O761" t="s">
        <v>2315</v>
      </c>
      <c r="P761" t="str">
        <f>RIGHT(RIGHT(Table2[[#This Row],[last Updated]],12),4)</f>
        <v xml:space="preserve"> PDT</v>
      </c>
      <c r="Q761" t="s">
        <v>2316</v>
      </c>
    </row>
    <row r="762" spans="1:17" x14ac:dyDescent="0.25">
      <c r="A762" t="s">
        <v>180</v>
      </c>
      <c r="B762" t="str">
        <f>UPPER(Table2[[#This Row],[Brand]])</f>
        <v>CALVIN KLEIN</v>
      </c>
      <c r="C762" t="str">
        <f>LOWER(Table2[[#This Row],[Brand]])</f>
        <v>calvin klein</v>
      </c>
      <c r="D762" t="str">
        <f>PROPER(Table2[[#This Row],[Brand]])</f>
        <v>Calvin Klein</v>
      </c>
      <c r="E762" t="s">
        <v>646</v>
      </c>
      <c r="F762">
        <v>17.989999999999998</v>
      </c>
      <c r="G762" t="s">
        <v>1128</v>
      </c>
      <c r="H76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$17.99</v>
      </c>
      <c r="I762" t="str">
        <f>LEFT(Table2[[#This Row],[priceWithCurrency]],3)</f>
        <v xml:space="preserve">US </v>
      </c>
      <c r="J762">
        <v>3</v>
      </c>
      <c r="K762" t="str">
        <f>IF(Table2[[#This Row],[Available]]&lt;=50, "Less Stock", "Required stock" )</f>
        <v>Less Stock</v>
      </c>
      <c r="L762">
        <f t="shared" si="11"/>
        <v>1532.0500000000002</v>
      </c>
      <c r="M762" t="s">
        <v>324</v>
      </c>
      <c r="N762">
        <v>3</v>
      </c>
      <c r="O762" t="s">
        <v>2317</v>
      </c>
      <c r="P762" t="str">
        <f>RIGHT(RIGHT(Table2[[#This Row],[last Updated]],12),4)</f>
        <v xml:space="preserve"> PDT</v>
      </c>
      <c r="Q762" t="s">
        <v>2318</v>
      </c>
    </row>
    <row r="763" spans="1:17" x14ac:dyDescent="0.25">
      <c r="A763" t="s">
        <v>593</v>
      </c>
      <c r="B763" t="str">
        <f>UPPER(Table2[[#This Row],[Brand]])</f>
        <v>SALVATORE FERRAGAMO</v>
      </c>
      <c r="C763" t="str">
        <f>LOWER(Table2[[#This Row],[Brand]])</f>
        <v>salvatore ferragamo</v>
      </c>
      <c r="D763" t="str">
        <f>PROPER(Table2[[#This Row],[Brand]])</f>
        <v>Salvatore Ferragamo</v>
      </c>
      <c r="E763" t="s">
        <v>4</v>
      </c>
      <c r="F763">
        <v>69.95</v>
      </c>
      <c r="G763" t="s">
        <v>2319</v>
      </c>
      <c r="H76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$69.95</v>
      </c>
      <c r="I763" t="str">
        <f>LEFT(Table2[[#This Row],[priceWithCurrency]],3)</f>
        <v xml:space="preserve">US </v>
      </c>
      <c r="J763">
        <v>5</v>
      </c>
      <c r="K763" t="str">
        <f>IF(Table2[[#This Row],[Available]]&lt;=50, "Less Stock", "Required stock" )</f>
        <v>Less Stock</v>
      </c>
      <c r="L763">
        <f t="shared" si="11"/>
        <v>1602.0400000000002</v>
      </c>
      <c r="M763" t="s">
        <v>2320</v>
      </c>
      <c r="N763">
        <v>120</v>
      </c>
      <c r="O763" t="s">
        <v>2321</v>
      </c>
      <c r="P763" t="str">
        <f>RIGHT(RIGHT(Table2[[#This Row],[last Updated]],12),4)</f>
        <v xml:space="preserve"> PDT</v>
      </c>
      <c r="Q763" t="s">
        <v>30</v>
      </c>
    </row>
    <row r="764" spans="1:17" x14ac:dyDescent="0.25">
      <c r="A764" t="s">
        <v>79</v>
      </c>
      <c r="B764" t="str">
        <f>UPPER(Table2[[#This Row],[Brand]])</f>
        <v>PACO RABANNE</v>
      </c>
      <c r="C764" t="str">
        <f>LOWER(Table2[[#This Row],[Brand]])</f>
        <v>paco rabanne</v>
      </c>
      <c r="D764" t="str">
        <f>PROPER(Table2[[#This Row],[Brand]])</f>
        <v>Paco Rabanne</v>
      </c>
      <c r="E764" t="s">
        <v>15</v>
      </c>
      <c r="F764">
        <v>135</v>
      </c>
      <c r="G764" t="s">
        <v>2322</v>
      </c>
      <c r="H76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$135.00</v>
      </c>
      <c r="I764" t="str">
        <f>LEFT(Table2[[#This Row],[priceWithCurrency]],3)</f>
        <v xml:space="preserve">US </v>
      </c>
      <c r="J764">
        <v>8</v>
      </c>
      <c r="K764" t="str">
        <f>IF(Table2[[#This Row],[Available]]&lt;=50, "Less Stock", "Required stock" )</f>
        <v>Less Stock</v>
      </c>
      <c r="L764">
        <f t="shared" si="11"/>
        <v>1562.09</v>
      </c>
      <c r="M764" t="s">
        <v>1719</v>
      </c>
      <c r="N764">
        <v>4</v>
      </c>
      <c r="P764" t="str">
        <f>RIGHT(RIGHT(Table2[[#This Row],[last Updated]],12),4)</f>
        <v/>
      </c>
      <c r="Q764" t="s">
        <v>1616</v>
      </c>
    </row>
    <row r="765" spans="1:17" x14ac:dyDescent="0.25">
      <c r="A765" t="s">
        <v>335</v>
      </c>
      <c r="B765" t="str">
        <f>UPPER(Table2[[#This Row],[Brand]])</f>
        <v>COLOGNE</v>
      </c>
      <c r="C765" t="str">
        <f>LOWER(Table2[[#This Row],[Brand]])</f>
        <v>cologne</v>
      </c>
      <c r="D765" t="str">
        <f>PROPER(Table2[[#This Row],[Brand]])</f>
        <v>Cologne</v>
      </c>
      <c r="E765" t="s">
        <v>15</v>
      </c>
      <c r="F765">
        <v>35</v>
      </c>
      <c r="G765" t="s">
        <v>2150</v>
      </c>
      <c r="H76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$35.00</v>
      </c>
      <c r="I765" t="str">
        <f>LEFT(Table2[[#This Row],[priceWithCurrency]],3)</f>
        <v xml:space="preserve">US </v>
      </c>
      <c r="J765">
        <v>3</v>
      </c>
      <c r="K765" t="str">
        <f>IF(Table2[[#This Row],[Available]]&lt;=50, "Less Stock", "Required stock" )</f>
        <v>Less Stock</v>
      </c>
      <c r="L765">
        <f t="shared" si="11"/>
        <v>1919.3100000000006</v>
      </c>
      <c r="M765" t="s">
        <v>2323</v>
      </c>
      <c r="N765">
        <v>214</v>
      </c>
      <c r="O765" t="s">
        <v>2324</v>
      </c>
      <c r="P765" t="str">
        <f>RIGHT(RIGHT(Table2[[#This Row],[last Updated]],12),4)</f>
        <v xml:space="preserve"> PDT</v>
      </c>
      <c r="Q765" t="s">
        <v>2325</v>
      </c>
    </row>
    <row r="766" spans="1:17" x14ac:dyDescent="0.25">
      <c r="A766" t="s">
        <v>2326</v>
      </c>
      <c r="B766" t="str">
        <f>UPPER(Table2[[#This Row],[Brand]])</f>
        <v>MICHAEL JORDAN</v>
      </c>
      <c r="C766" t="str">
        <f>LOWER(Table2[[#This Row],[Brand]])</f>
        <v>michael jordan</v>
      </c>
      <c r="D766" t="str">
        <f>PROPER(Table2[[#This Row],[Brand]])</f>
        <v>Michael Jordan</v>
      </c>
      <c r="E766" t="s">
        <v>374</v>
      </c>
      <c r="F766">
        <v>21.79</v>
      </c>
      <c r="G766" t="s">
        <v>2327</v>
      </c>
      <c r="H76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$21.79</v>
      </c>
      <c r="I766" t="str">
        <f>LEFT(Table2[[#This Row],[priceWithCurrency]],3)</f>
        <v xml:space="preserve">US </v>
      </c>
      <c r="J766">
        <v>10</v>
      </c>
      <c r="K766" t="str">
        <f>IF(Table2[[#This Row],[Available]]&lt;=50, "Less Stock", "Required stock" )</f>
        <v>Less Stock</v>
      </c>
      <c r="L766">
        <f t="shared" si="11"/>
        <v>1573.09</v>
      </c>
      <c r="M766" t="s">
        <v>2328</v>
      </c>
      <c r="N766">
        <v>488</v>
      </c>
      <c r="O766" t="s">
        <v>2329</v>
      </c>
      <c r="P766" t="str">
        <f>RIGHT(RIGHT(Table2[[#This Row],[last Updated]],12),4)</f>
        <v xml:space="preserve"> PDT</v>
      </c>
      <c r="Q766" t="s">
        <v>108</v>
      </c>
    </row>
    <row r="767" spans="1:17" x14ac:dyDescent="0.25">
      <c r="A767" t="s">
        <v>2330</v>
      </c>
      <c r="B767" t="str">
        <f>UPPER(Table2[[#This Row],[Brand]])</f>
        <v>YSL</v>
      </c>
      <c r="C767" t="str">
        <f>LOWER(Table2[[#This Row],[Brand]])</f>
        <v>ysl</v>
      </c>
      <c r="D767" t="str">
        <f>PROPER(Table2[[#This Row],[Brand]])</f>
        <v>Ysl</v>
      </c>
      <c r="E767" t="s">
        <v>15</v>
      </c>
      <c r="F767">
        <v>38</v>
      </c>
      <c r="G767" t="s">
        <v>2331</v>
      </c>
      <c r="H76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$38.00</v>
      </c>
      <c r="I767" t="str">
        <f>LEFT(Table2[[#This Row],[priceWithCurrency]],3)</f>
        <v xml:space="preserve">US </v>
      </c>
      <c r="J767">
        <v>10</v>
      </c>
      <c r="K767" t="str">
        <f>IF(Table2[[#This Row],[Available]]&lt;=50, "Less Stock", "Required stock" )</f>
        <v>Less Stock</v>
      </c>
      <c r="L767">
        <f t="shared" si="11"/>
        <v>1573.09</v>
      </c>
      <c r="M767" t="s">
        <v>2332</v>
      </c>
      <c r="N767">
        <v>42</v>
      </c>
      <c r="O767" t="s">
        <v>2333</v>
      </c>
      <c r="P767" t="str">
        <f>RIGHT(RIGHT(Table2[[#This Row],[last Updated]],12),4)</f>
        <v xml:space="preserve"> PDT</v>
      </c>
      <c r="Q767" t="s">
        <v>2334</v>
      </c>
    </row>
    <row r="768" spans="1:17" x14ac:dyDescent="0.25">
      <c r="A768" t="s">
        <v>56</v>
      </c>
      <c r="B768" t="str">
        <f>UPPER(Table2[[#This Row],[Brand]])</f>
        <v>RALPH LAUREN</v>
      </c>
      <c r="C768" t="str">
        <f>LOWER(Table2[[#This Row],[Brand]])</f>
        <v>ralph lauren</v>
      </c>
      <c r="D768" t="str">
        <f>PROPER(Table2[[#This Row],[Brand]])</f>
        <v>Ralph Lauren</v>
      </c>
      <c r="E768" t="s">
        <v>15</v>
      </c>
      <c r="F768">
        <v>34.99</v>
      </c>
      <c r="G768" t="s">
        <v>57</v>
      </c>
      <c r="H76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$34.99</v>
      </c>
      <c r="I768" t="str">
        <f>LEFT(Table2[[#This Row],[priceWithCurrency]],3)</f>
        <v xml:space="preserve">US </v>
      </c>
      <c r="J768">
        <v>5</v>
      </c>
      <c r="K768" t="str">
        <f>IF(Table2[[#This Row],[Available]]&lt;=50, "Less Stock", "Required stock" )</f>
        <v>Less Stock</v>
      </c>
      <c r="L768">
        <f t="shared" si="11"/>
        <v>103.50999999999999</v>
      </c>
      <c r="M768" t="s">
        <v>2335</v>
      </c>
      <c r="N768">
        <v>31</v>
      </c>
      <c r="O768" t="s">
        <v>2336</v>
      </c>
      <c r="P768" t="str">
        <f>RIGHT(RIGHT(Table2[[#This Row],[last Updated]],12),4)</f>
        <v xml:space="preserve"> PDT</v>
      </c>
      <c r="Q768" t="s">
        <v>19</v>
      </c>
    </row>
    <row r="769" spans="1:17" x14ac:dyDescent="0.25">
      <c r="A769" t="s">
        <v>61</v>
      </c>
      <c r="B769" t="str">
        <f>UPPER(Table2[[#This Row],[Brand]])</f>
        <v>DOLCE&amp;GABBANA</v>
      </c>
      <c r="C769" t="str">
        <f>LOWER(Table2[[#This Row],[Brand]])</f>
        <v>dolce&amp;gabbana</v>
      </c>
      <c r="D769" t="str">
        <f>PROPER(Table2[[#This Row],[Brand]])</f>
        <v>Dolce&amp;Gabbana</v>
      </c>
      <c r="E769" t="s">
        <v>15</v>
      </c>
      <c r="F769">
        <v>53.45</v>
      </c>
      <c r="G769" t="s">
        <v>2337</v>
      </c>
      <c r="H76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$53.45</v>
      </c>
      <c r="I769" t="str">
        <f>LEFT(Table2[[#This Row],[priceWithCurrency]],3)</f>
        <v xml:space="preserve">US </v>
      </c>
      <c r="K769" t="str">
        <f>IF(Table2[[#This Row],[Available]]&lt;=50, "Less Stock", "Required stock" )</f>
        <v>Less Stock</v>
      </c>
      <c r="L769">
        <f t="shared" si="11"/>
        <v>1818.2700000000007</v>
      </c>
      <c r="M769" t="s">
        <v>2338</v>
      </c>
      <c r="N769">
        <v>3787</v>
      </c>
      <c r="O769" t="s">
        <v>2339</v>
      </c>
      <c r="P769" t="str">
        <f>RIGHT(RIGHT(Table2[[#This Row],[last Updated]],12),4)</f>
        <v xml:space="preserve"> PDT</v>
      </c>
      <c r="Q769" t="s">
        <v>108</v>
      </c>
    </row>
    <row r="770" spans="1:17" x14ac:dyDescent="0.25">
      <c r="A770" t="s">
        <v>79</v>
      </c>
      <c r="B770" t="str">
        <f>UPPER(Table2[[#This Row],[Brand]])</f>
        <v>PACO RABANNE</v>
      </c>
      <c r="C770" t="str">
        <f>LOWER(Table2[[#This Row],[Brand]])</f>
        <v>paco rabanne</v>
      </c>
      <c r="D770" t="str">
        <f>PROPER(Table2[[#This Row],[Brand]])</f>
        <v>Paco Rabanne</v>
      </c>
      <c r="E770" t="s">
        <v>127</v>
      </c>
      <c r="F770">
        <v>82.99</v>
      </c>
      <c r="G770" t="s">
        <v>2340</v>
      </c>
      <c r="H77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$82.99</v>
      </c>
      <c r="I770" t="str">
        <f>LEFT(Table2[[#This Row],[priceWithCurrency]],3)</f>
        <v xml:space="preserve">US </v>
      </c>
      <c r="J770">
        <v>10</v>
      </c>
      <c r="K770" t="str">
        <f>IF(Table2[[#This Row],[Available]]&lt;=50, "Less Stock", "Required stock" )</f>
        <v>Less Stock</v>
      </c>
      <c r="L770">
        <f t="shared" ref="L770:L833" si="12">SUMIF(E770:E850,E814,F814:F1769)</f>
        <v>1800.2800000000007</v>
      </c>
      <c r="M770" t="s">
        <v>305</v>
      </c>
      <c r="N770">
        <v>2</v>
      </c>
      <c r="O770" t="s">
        <v>2341</v>
      </c>
      <c r="P770" t="str">
        <f>RIGHT(RIGHT(Table2[[#This Row],[last Updated]],12),4)</f>
        <v xml:space="preserve"> PDT</v>
      </c>
      <c r="Q770" t="s">
        <v>480</v>
      </c>
    </row>
    <row r="771" spans="1:17" x14ac:dyDescent="0.25">
      <c r="A771" t="s">
        <v>159</v>
      </c>
      <c r="B771" t="str">
        <f>UPPER(Table2[[#This Row],[Brand]])</f>
        <v>VALENTINO</v>
      </c>
      <c r="C771" t="str">
        <f>LOWER(Table2[[#This Row],[Brand]])</f>
        <v>valentino</v>
      </c>
      <c r="D771" t="str">
        <f>PROPER(Table2[[#This Row],[Brand]])</f>
        <v>Valentino</v>
      </c>
      <c r="E771" t="s">
        <v>15</v>
      </c>
      <c r="F771">
        <v>79.989999999999995</v>
      </c>
      <c r="G771" t="s">
        <v>407</v>
      </c>
      <c r="H77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$79.99</v>
      </c>
      <c r="I771" t="str">
        <f>LEFT(Table2[[#This Row],[priceWithCurrency]],3)</f>
        <v xml:space="preserve">US </v>
      </c>
      <c r="J771">
        <v>2</v>
      </c>
      <c r="K771" t="str">
        <f>IF(Table2[[#This Row],[Available]]&lt;=50, "Less Stock", "Required stock" )</f>
        <v>Less Stock</v>
      </c>
      <c r="L771">
        <f t="shared" si="12"/>
        <v>1839.5300000000007</v>
      </c>
      <c r="M771" t="s">
        <v>2342</v>
      </c>
      <c r="N771">
        <v>11</v>
      </c>
      <c r="O771" t="s">
        <v>2343</v>
      </c>
      <c r="P771" t="str">
        <f>RIGHT(RIGHT(Table2[[#This Row],[last Updated]],12),4)</f>
        <v xml:space="preserve"> PDT</v>
      </c>
      <c r="Q771" t="s">
        <v>1394</v>
      </c>
    </row>
    <row r="772" spans="1:17" x14ac:dyDescent="0.25">
      <c r="A772" t="s">
        <v>1235</v>
      </c>
      <c r="B772" t="str">
        <f>UPPER(Table2[[#This Row],[Brand]])</f>
        <v>PRADA</v>
      </c>
      <c r="C772" t="str">
        <f>LOWER(Table2[[#This Row],[Brand]])</f>
        <v>prada</v>
      </c>
      <c r="D772" t="str">
        <f>PROPER(Table2[[#This Row],[Brand]])</f>
        <v>Prada</v>
      </c>
      <c r="E772" t="s">
        <v>4</v>
      </c>
      <c r="F772">
        <v>22.99</v>
      </c>
      <c r="G772" t="s">
        <v>923</v>
      </c>
      <c r="H77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$22.99</v>
      </c>
      <c r="I772" t="str">
        <f>LEFT(Table2[[#This Row],[priceWithCurrency]],3)</f>
        <v xml:space="preserve">US </v>
      </c>
      <c r="J772">
        <v>9</v>
      </c>
      <c r="K772" t="str">
        <f>IF(Table2[[#This Row],[Available]]&lt;=50, "Less Stock", "Required stock" )</f>
        <v>Less Stock</v>
      </c>
      <c r="L772">
        <f t="shared" si="12"/>
        <v>1818.0800000000004</v>
      </c>
      <c r="M772" t="s">
        <v>1974</v>
      </c>
      <c r="N772">
        <v>1</v>
      </c>
      <c r="P772" t="str">
        <f>RIGHT(RIGHT(Table2[[#This Row],[last Updated]],12),4)</f>
        <v/>
      </c>
      <c r="Q772" t="s">
        <v>853</v>
      </c>
    </row>
    <row r="773" spans="1:17" x14ac:dyDescent="0.25">
      <c r="A773" t="s">
        <v>117</v>
      </c>
      <c r="B773" t="str">
        <f>UPPER(Table2[[#This Row],[Brand]])</f>
        <v>AFNAN</v>
      </c>
      <c r="C773" t="str">
        <f>LOWER(Table2[[#This Row],[Brand]])</f>
        <v>afnan</v>
      </c>
      <c r="D773" t="str">
        <f>PROPER(Table2[[#This Row],[Brand]])</f>
        <v>Afnan</v>
      </c>
      <c r="E773" t="s">
        <v>715</v>
      </c>
      <c r="F773">
        <v>22.15</v>
      </c>
      <c r="G773" t="s">
        <v>2344</v>
      </c>
      <c r="H77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$22.15</v>
      </c>
      <c r="I773" t="str">
        <f>LEFT(Table2[[#This Row],[priceWithCurrency]],3)</f>
        <v xml:space="preserve">US </v>
      </c>
      <c r="J773">
        <v>28</v>
      </c>
      <c r="K773" t="str">
        <f>IF(Table2[[#This Row],[Available]]&lt;=50, "Less Stock", "Required stock" )</f>
        <v>Less Stock</v>
      </c>
      <c r="L773">
        <f t="shared" si="12"/>
        <v>1818.0800000000004</v>
      </c>
      <c r="M773" t="s">
        <v>2345</v>
      </c>
      <c r="N773">
        <v>196</v>
      </c>
      <c r="O773" t="s">
        <v>2346</v>
      </c>
      <c r="P773" t="str">
        <f>RIGHT(RIGHT(Table2[[#This Row],[last Updated]],12),4)</f>
        <v xml:space="preserve"> PDT</v>
      </c>
      <c r="Q773" t="s">
        <v>121</v>
      </c>
    </row>
    <row r="774" spans="1:17" x14ac:dyDescent="0.25">
      <c r="A774" t="s">
        <v>208</v>
      </c>
      <c r="B774" t="str">
        <f>UPPER(Table2[[#This Row],[Brand]])</f>
        <v>POLO RALPH LAUREN</v>
      </c>
      <c r="C774" t="str">
        <f>LOWER(Table2[[#This Row],[Brand]])</f>
        <v>polo ralph lauren</v>
      </c>
      <c r="D774" t="str">
        <f>PROPER(Table2[[#This Row],[Brand]])</f>
        <v>Polo Ralph Lauren</v>
      </c>
      <c r="E774" t="s">
        <v>15</v>
      </c>
      <c r="F774">
        <v>26.55</v>
      </c>
      <c r="G774" t="s">
        <v>2347</v>
      </c>
      <c r="H77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$26.55</v>
      </c>
      <c r="I774" t="str">
        <f>LEFT(Table2[[#This Row],[priceWithCurrency]],3)</f>
        <v xml:space="preserve">US </v>
      </c>
      <c r="J774">
        <v>7</v>
      </c>
      <c r="K774" t="str">
        <f>IF(Table2[[#This Row],[Available]]&lt;=50, "Less Stock", "Required stock" )</f>
        <v>Less Stock</v>
      </c>
      <c r="L774">
        <f t="shared" si="12"/>
        <v>1543.1</v>
      </c>
      <c r="M774" t="s">
        <v>2348</v>
      </c>
      <c r="N774">
        <v>15</v>
      </c>
      <c r="O774" t="s">
        <v>2349</v>
      </c>
      <c r="P774" t="str">
        <f>RIGHT(RIGHT(Table2[[#This Row],[last Updated]],12),4)</f>
        <v xml:space="preserve"> PDT</v>
      </c>
      <c r="Q774" t="s">
        <v>2350</v>
      </c>
    </row>
    <row r="775" spans="1:17" x14ac:dyDescent="0.25">
      <c r="A775" t="s">
        <v>2351</v>
      </c>
      <c r="B775" t="str">
        <f>UPPER(Table2[[#This Row],[Brand]])</f>
        <v>DESIGNER SERIES</v>
      </c>
      <c r="C775" t="str">
        <f>LOWER(Table2[[#This Row],[Brand]])</f>
        <v>designer series</v>
      </c>
      <c r="D775" t="str">
        <f>PROPER(Table2[[#This Row],[Brand]])</f>
        <v>Designer Series</v>
      </c>
      <c r="E775" t="s">
        <v>15</v>
      </c>
      <c r="F775">
        <v>12.6</v>
      </c>
      <c r="G775" t="s">
        <v>2352</v>
      </c>
      <c r="H77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$12.60</v>
      </c>
      <c r="I775" t="str">
        <f>LEFT(Table2[[#This Row],[priceWithCurrency]],3)</f>
        <v xml:space="preserve">US </v>
      </c>
      <c r="J775">
        <v>10</v>
      </c>
      <c r="K775" t="str">
        <f>IF(Table2[[#This Row],[Available]]&lt;=50, "Less Stock", "Required stock" )</f>
        <v>Less Stock</v>
      </c>
      <c r="L775">
        <f t="shared" si="12"/>
        <v>1867.8000000000004</v>
      </c>
      <c r="M775" t="s">
        <v>2353</v>
      </c>
      <c r="N775">
        <v>229</v>
      </c>
      <c r="O775" t="s">
        <v>2354</v>
      </c>
      <c r="P775" t="str">
        <f>RIGHT(RIGHT(Table2[[#This Row],[last Updated]],12),4)</f>
        <v xml:space="preserve"> PDT</v>
      </c>
      <c r="Q775" t="s">
        <v>398</v>
      </c>
    </row>
    <row r="776" spans="1:17" x14ac:dyDescent="0.25">
      <c r="A776" t="s">
        <v>1452</v>
      </c>
      <c r="B776" t="str">
        <f>UPPER(Table2[[#This Row],[Brand]])</f>
        <v>BOND NO. 9</v>
      </c>
      <c r="C776" t="str">
        <f>LOWER(Table2[[#This Row],[Brand]])</f>
        <v>bond no. 9</v>
      </c>
      <c r="D776" t="str">
        <f>PROPER(Table2[[#This Row],[Brand]])</f>
        <v>Bond No. 9</v>
      </c>
      <c r="E776" t="s">
        <v>4</v>
      </c>
      <c r="F776">
        <v>17.98</v>
      </c>
      <c r="G776" t="s">
        <v>1227</v>
      </c>
      <c r="H77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$17.98</v>
      </c>
      <c r="I776" t="str">
        <f>LEFT(Table2[[#This Row],[priceWithCurrency]],3)</f>
        <v xml:space="preserve">US </v>
      </c>
      <c r="J776">
        <v>10</v>
      </c>
      <c r="K776" t="str">
        <f>IF(Table2[[#This Row],[Available]]&lt;=50, "Less Stock", "Required stock" )</f>
        <v>Less Stock</v>
      </c>
      <c r="L776">
        <f t="shared" si="12"/>
        <v>1821.8100000000004</v>
      </c>
      <c r="M776" t="s">
        <v>495</v>
      </c>
      <c r="N776">
        <v>9</v>
      </c>
      <c r="O776" t="s">
        <v>2355</v>
      </c>
      <c r="P776" t="str">
        <f>RIGHT(RIGHT(Table2[[#This Row],[last Updated]],12),4)</f>
        <v xml:space="preserve"> PDT</v>
      </c>
      <c r="Q776" t="s">
        <v>1230</v>
      </c>
    </row>
    <row r="777" spans="1:17" x14ac:dyDescent="0.25">
      <c r="A777" t="s">
        <v>1036</v>
      </c>
      <c r="B777" t="str">
        <f>UPPER(Table2[[#This Row],[Brand]])</f>
        <v>TOM FORD</v>
      </c>
      <c r="C777" t="str">
        <f>LOWER(Table2[[#This Row],[Brand]])</f>
        <v>tom ford</v>
      </c>
      <c r="D777" t="str">
        <f>PROPER(Table2[[#This Row],[Brand]])</f>
        <v>Tom Ford</v>
      </c>
      <c r="E777" t="s">
        <v>4</v>
      </c>
      <c r="F777">
        <v>135.49</v>
      </c>
      <c r="G777" t="s">
        <v>2356</v>
      </c>
      <c r="H77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$135.49</v>
      </c>
      <c r="I777" t="str">
        <f>LEFT(Table2[[#This Row],[priceWithCurrency]],3)</f>
        <v xml:space="preserve">US </v>
      </c>
      <c r="J777">
        <v>10</v>
      </c>
      <c r="K777" t="str">
        <f>IF(Table2[[#This Row],[Available]]&lt;=50, "Less Stock", "Required stock" )</f>
        <v>Less Stock</v>
      </c>
      <c r="L777">
        <f t="shared" si="12"/>
        <v>2071.8100000000004</v>
      </c>
      <c r="M777" t="s">
        <v>2357</v>
      </c>
      <c r="N777">
        <v>64</v>
      </c>
      <c r="O777" t="s">
        <v>2032</v>
      </c>
      <c r="P777" t="str">
        <f>RIGHT(RIGHT(Table2[[#This Row],[last Updated]],12),4)</f>
        <v xml:space="preserve"> PDT</v>
      </c>
      <c r="Q777" t="s">
        <v>108</v>
      </c>
    </row>
    <row r="778" spans="1:17" x14ac:dyDescent="0.25">
      <c r="A778" t="s">
        <v>634</v>
      </c>
      <c r="B778" t="str">
        <f>UPPER(Table2[[#This Row],[Brand]])</f>
        <v>YSL</v>
      </c>
      <c r="C778" t="str">
        <f>LOWER(Table2[[#This Row],[Brand]])</f>
        <v>ysl</v>
      </c>
      <c r="D778" t="str">
        <f>PROPER(Table2[[#This Row],[Brand]])</f>
        <v>Ysl</v>
      </c>
      <c r="E778" t="s">
        <v>15</v>
      </c>
      <c r="F778">
        <v>52.99</v>
      </c>
      <c r="G778" t="s">
        <v>1340</v>
      </c>
      <c r="H77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$52.99</v>
      </c>
      <c r="I778" t="str">
        <f>LEFT(Table2[[#This Row],[priceWithCurrency]],3)</f>
        <v xml:space="preserve">US </v>
      </c>
      <c r="J778">
        <v>8</v>
      </c>
      <c r="K778" t="str">
        <f>IF(Table2[[#This Row],[Available]]&lt;=50, "Less Stock", "Required stock" )</f>
        <v>Less Stock</v>
      </c>
      <c r="L778">
        <f t="shared" si="12"/>
        <v>103.50999999999999</v>
      </c>
      <c r="M778" t="s">
        <v>2358</v>
      </c>
      <c r="N778">
        <v>60</v>
      </c>
      <c r="O778" t="s">
        <v>2359</v>
      </c>
      <c r="P778" t="str">
        <f>RIGHT(RIGHT(Table2[[#This Row],[last Updated]],12),4)</f>
        <v xml:space="preserve"> PDT</v>
      </c>
      <c r="Q778" t="s">
        <v>2360</v>
      </c>
    </row>
    <row r="779" spans="1:17" x14ac:dyDescent="0.25">
      <c r="A779" t="s">
        <v>492</v>
      </c>
      <c r="B779" t="str">
        <f>UPPER(Table2[[#This Row],[Brand]])</f>
        <v>LACOSTE</v>
      </c>
      <c r="C779" t="str">
        <f>LOWER(Table2[[#This Row],[Brand]])</f>
        <v>lacoste</v>
      </c>
      <c r="D779" t="str">
        <f>PROPER(Table2[[#This Row],[Brand]])</f>
        <v>Lacoste</v>
      </c>
      <c r="E779" t="s">
        <v>15</v>
      </c>
      <c r="F779">
        <v>54.5</v>
      </c>
      <c r="G779" t="s">
        <v>2361</v>
      </c>
      <c r="H77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$54.50</v>
      </c>
      <c r="I779" t="str">
        <f>LEFT(Table2[[#This Row],[priceWithCurrency]],3)</f>
        <v xml:space="preserve">US </v>
      </c>
      <c r="J779">
        <v>2</v>
      </c>
      <c r="K779" t="str">
        <f>IF(Table2[[#This Row],[Available]]&lt;=50, "Less Stock", "Required stock" )</f>
        <v>Less Stock</v>
      </c>
      <c r="L779">
        <f t="shared" si="12"/>
        <v>2064.5700000000002</v>
      </c>
      <c r="M779" t="s">
        <v>2362</v>
      </c>
      <c r="N779">
        <v>1995</v>
      </c>
      <c r="O779" t="s">
        <v>2363</v>
      </c>
      <c r="P779" t="str">
        <f>RIGHT(RIGHT(Table2[[#This Row],[last Updated]],12),4)</f>
        <v xml:space="preserve"> PDT</v>
      </c>
      <c r="Q779" t="s">
        <v>108</v>
      </c>
    </row>
    <row r="780" spans="1:17" x14ac:dyDescent="0.25">
      <c r="A780" t="s">
        <v>2364</v>
      </c>
      <c r="B780" t="str">
        <f>UPPER(Table2[[#This Row],[Brand]])</f>
        <v>ALEXANDRIA FRAGRANCES</v>
      </c>
      <c r="C780" t="str">
        <f>LOWER(Table2[[#This Row],[Brand]])</f>
        <v>alexandria fragrances</v>
      </c>
      <c r="D780" t="str">
        <f>PROPER(Table2[[#This Row],[Brand]])</f>
        <v>Alexandria Fragrances</v>
      </c>
      <c r="E780" t="s">
        <v>4</v>
      </c>
      <c r="F780">
        <v>3</v>
      </c>
      <c r="G780" t="s">
        <v>2365</v>
      </c>
      <c r="H78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$3.00</v>
      </c>
      <c r="I780" t="str">
        <f>LEFT(Table2[[#This Row],[priceWithCurrency]],3)</f>
        <v xml:space="preserve">US </v>
      </c>
      <c r="J780">
        <v>39</v>
      </c>
      <c r="K780" t="str">
        <f>IF(Table2[[#This Row],[Available]]&lt;=50, "Less Stock", "Required stock" )</f>
        <v>Less Stock</v>
      </c>
      <c r="L780">
        <f t="shared" si="12"/>
        <v>2041.5600000000004</v>
      </c>
      <c r="M780" t="s">
        <v>2366</v>
      </c>
      <c r="N780">
        <v>4</v>
      </c>
      <c r="O780" t="s">
        <v>2367</v>
      </c>
      <c r="P780" t="str">
        <f>RIGHT(RIGHT(Table2[[#This Row],[last Updated]],12),4)</f>
        <v xml:space="preserve"> PDT</v>
      </c>
      <c r="Q780" t="s">
        <v>2368</v>
      </c>
    </row>
    <row r="781" spans="1:17" x14ac:dyDescent="0.25">
      <c r="A781" t="s">
        <v>90</v>
      </c>
      <c r="B781" t="str">
        <f>UPPER(Table2[[#This Row],[Brand]])</f>
        <v>ARMAF</v>
      </c>
      <c r="C781" t="str">
        <f>LOWER(Table2[[#This Row],[Brand]])</f>
        <v>armaf</v>
      </c>
      <c r="D781" t="str">
        <f>PROPER(Table2[[#This Row],[Brand]])</f>
        <v>Armaf</v>
      </c>
      <c r="E781" t="s">
        <v>715</v>
      </c>
      <c r="F781">
        <v>36.950000000000003</v>
      </c>
      <c r="G781" t="s">
        <v>1449</v>
      </c>
      <c r="H78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$36.95</v>
      </c>
      <c r="I781" t="str">
        <f>LEFT(Table2[[#This Row],[priceWithCurrency]],3)</f>
        <v xml:space="preserve">US </v>
      </c>
      <c r="J781">
        <v>19</v>
      </c>
      <c r="K781" t="str">
        <f>IF(Table2[[#This Row],[Available]]&lt;=50, "Less Stock", "Required stock" )</f>
        <v>Less Stock</v>
      </c>
      <c r="L781">
        <f t="shared" si="12"/>
        <v>1351.0100000000002</v>
      </c>
      <c r="M781" t="s">
        <v>2369</v>
      </c>
      <c r="N781">
        <v>120</v>
      </c>
      <c r="O781" t="s">
        <v>2370</v>
      </c>
      <c r="P781" t="str">
        <f>RIGHT(RIGHT(Table2[[#This Row],[last Updated]],12),4)</f>
        <v xml:space="preserve"> PDT</v>
      </c>
      <c r="Q781" t="s">
        <v>121</v>
      </c>
    </row>
    <row r="782" spans="1:17" x14ac:dyDescent="0.25">
      <c r="A782" t="s">
        <v>20</v>
      </c>
      <c r="B782" t="str">
        <f>UPPER(Table2[[#This Row],[Brand]])</f>
        <v>GIORGIO ARMANI</v>
      </c>
      <c r="C782" t="str">
        <f>LOWER(Table2[[#This Row],[Brand]])</f>
        <v>giorgio armani</v>
      </c>
      <c r="D782" t="str">
        <f>PROPER(Table2[[#This Row],[Brand]])</f>
        <v>Giorgio Armani</v>
      </c>
      <c r="E782" t="s">
        <v>15</v>
      </c>
      <c r="F782">
        <v>51.99</v>
      </c>
      <c r="G782" t="s">
        <v>544</v>
      </c>
      <c r="H78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$51.99</v>
      </c>
      <c r="I782" t="str">
        <f>LEFT(Table2[[#This Row],[priceWithCurrency]],3)</f>
        <v xml:space="preserve">US </v>
      </c>
      <c r="J782">
        <v>9</v>
      </c>
      <c r="K782" t="str">
        <f>IF(Table2[[#This Row],[Available]]&lt;=50, "Less Stock", "Required stock" )</f>
        <v>Less Stock</v>
      </c>
      <c r="L782">
        <f t="shared" si="12"/>
        <v>2066.5100000000002</v>
      </c>
      <c r="M782" t="s">
        <v>2371</v>
      </c>
      <c r="N782">
        <v>28</v>
      </c>
      <c r="O782" t="s">
        <v>2372</v>
      </c>
      <c r="P782" t="str">
        <f>RIGHT(RIGHT(Table2[[#This Row],[last Updated]],12),4)</f>
        <v xml:space="preserve"> PDT</v>
      </c>
      <c r="Q782" t="s">
        <v>36</v>
      </c>
    </row>
    <row r="783" spans="1:17" x14ac:dyDescent="0.25">
      <c r="A783" t="s">
        <v>835</v>
      </c>
      <c r="B783" t="str">
        <f>UPPER(Table2[[#This Row],[Brand]])</f>
        <v>CHANEL</v>
      </c>
      <c r="C783" t="str">
        <f>LOWER(Table2[[#This Row],[Brand]])</f>
        <v>chanel</v>
      </c>
      <c r="D783" t="str">
        <f>PROPER(Table2[[#This Row],[Brand]])</f>
        <v>Chanel</v>
      </c>
      <c r="E783" t="s">
        <v>15</v>
      </c>
      <c r="F783">
        <v>12</v>
      </c>
      <c r="G783" t="s">
        <v>2373</v>
      </c>
      <c r="H78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$12.00</v>
      </c>
      <c r="I783" t="str">
        <f>LEFT(Table2[[#This Row],[priceWithCurrency]],3)</f>
        <v xml:space="preserve">US </v>
      </c>
      <c r="J783">
        <v>2</v>
      </c>
      <c r="K783" t="str">
        <f>IF(Table2[[#This Row],[Available]]&lt;=50, "Less Stock", "Required stock" )</f>
        <v>Less Stock</v>
      </c>
      <c r="L783">
        <f t="shared" si="12"/>
        <v>2043.5000000000005</v>
      </c>
      <c r="M783" t="s">
        <v>2342</v>
      </c>
      <c r="N783">
        <v>11</v>
      </c>
      <c r="O783" t="s">
        <v>2374</v>
      </c>
      <c r="P783" t="str">
        <f>RIGHT(RIGHT(Table2[[#This Row],[last Updated]],12),4)</f>
        <v xml:space="preserve"> PDT</v>
      </c>
      <c r="Q783" t="s">
        <v>2164</v>
      </c>
    </row>
    <row r="784" spans="1:17" x14ac:dyDescent="0.25">
      <c r="A784" t="s">
        <v>2375</v>
      </c>
      <c r="B784" t="str">
        <f>UPPER(Table2[[#This Row],[Brand]])</f>
        <v>MAISON MARTIN MARGIELA</v>
      </c>
      <c r="C784" t="str">
        <f>LOWER(Table2[[#This Row],[Brand]])</f>
        <v>maison martin margiela</v>
      </c>
      <c r="D784" t="str">
        <f>PROPER(Table2[[#This Row],[Brand]])</f>
        <v>Maison Martin Margiela</v>
      </c>
      <c r="E784" t="s">
        <v>15</v>
      </c>
      <c r="F784">
        <v>39.99</v>
      </c>
      <c r="G784" t="s">
        <v>514</v>
      </c>
      <c r="H78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$39.99</v>
      </c>
      <c r="I784" t="str">
        <f>LEFT(Table2[[#This Row],[priceWithCurrency]],3)</f>
        <v xml:space="preserve">US </v>
      </c>
      <c r="K784" t="str">
        <f>IF(Table2[[#This Row],[Available]]&lt;=50, "Less Stock", "Required stock" )</f>
        <v>Less Stock</v>
      </c>
      <c r="L784">
        <f t="shared" si="12"/>
        <v>2027.9500000000005</v>
      </c>
      <c r="M784" t="s">
        <v>2376</v>
      </c>
      <c r="N784">
        <v>11</v>
      </c>
      <c r="O784" t="s">
        <v>2377</v>
      </c>
      <c r="P784" t="str">
        <f>RIGHT(RIGHT(Table2[[#This Row],[last Updated]],12),4)</f>
        <v xml:space="preserve"> PDT</v>
      </c>
      <c r="Q784" t="s">
        <v>2378</v>
      </c>
    </row>
    <row r="785" spans="1:17" x14ac:dyDescent="0.25">
      <c r="A785" t="s">
        <v>574</v>
      </c>
      <c r="B785" t="str">
        <f>UPPER(Table2[[#This Row],[Brand]])</f>
        <v>BVLGARI</v>
      </c>
      <c r="C785" t="str">
        <f>LOWER(Table2[[#This Row],[Brand]])</f>
        <v>bvlgari</v>
      </c>
      <c r="D785" t="str">
        <f>PROPER(Table2[[#This Row],[Brand]])</f>
        <v>Bvlgari</v>
      </c>
      <c r="E785" t="s">
        <v>4</v>
      </c>
      <c r="F785">
        <v>64.989999999999995</v>
      </c>
      <c r="G785" t="s">
        <v>508</v>
      </c>
      <c r="H78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$64.99</v>
      </c>
      <c r="I785" t="str">
        <f>LEFT(Table2[[#This Row],[priceWithCurrency]],3)</f>
        <v xml:space="preserve">US </v>
      </c>
      <c r="J785">
        <v>10</v>
      </c>
      <c r="K785" t="str">
        <f>IF(Table2[[#This Row],[Available]]&lt;=50, "Less Stock", "Required stock" )</f>
        <v>Less Stock</v>
      </c>
      <c r="L785">
        <f t="shared" si="12"/>
        <v>1391.0000000000002</v>
      </c>
      <c r="M785" t="s">
        <v>2379</v>
      </c>
      <c r="N785">
        <v>15</v>
      </c>
      <c r="O785" t="s">
        <v>2380</v>
      </c>
      <c r="P785" t="str">
        <f>RIGHT(RIGHT(Table2[[#This Row],[last Updated]],12),4)</f>
        <v xml:space="preserve"> PDT</v>
      </c>
      <c r="Q785" t="s">
        <v>89</v>
      </c>
    </row>
    <row r="786" spans="1:17" x14ac:dyDescent="0.25">
      <c r="A786" t="s">
        <v>1723</v>
      </c>
      <c r="B786" t="str">
        <f>UPPER(Table2[[#This Row],[Brand]])</f>
        <v>KENZO</v>
      </c>
      <c r="C786" t="str">
        <f>LOWER(Table2[[#This Row],[Brand]])</f>
        <v>kenzo</v>
      </c>
      <c r="D786" t="str">
        <f>PROPER(Table2[[#This Row],[Brand]])</f>
        <v>Kenzo</v>
      </c>
      <c r="E786" t="s">
        <v>15</v>
      </c>
      <c r="F786">
        <v>76.989999999999995</v>
      </c>
      <c r="G786" t="s">
        <v>2381</v>
      </c>
      <c r="H78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$76.99</v>
      </c>
      <c r="I786" t="str">
        <f>LEFT(Table2[[#This Row],[priceWithCurrency]],3)</f>
        <v xml:space="preserve">US </v>
      </c>
      <c r="J786">
        <v>10</v>
      </c>
      <c r="K786" t="str">
        <f>IF(Table2[[#This Row],[Available]]&lt;=50, "Less Stock", "Required stock" )</f>
        <v>Less Stock</v>
      </c>
      <c r="L786">
        <f t="shared" si="12"/>
        <v>1977.1600000000003</v>
      </c>
      <c r="M786" t="s">
        <v>2382</v>
      </c>
      <c r="N786">
        <v>33</v>
      </c>
      <c r="O786" t="s">
        <v>2383</v>
      </c>
      <c r="P786" t="str">
        <f>RIGHT(RIGHT(Table2[[#This Row],[last Updated]],12),4)</f>
        <v xml:space="preserve"> PDT</v>
      </c>
      <c r="Q786" t="s">
        <v>131</v>
      </c>
    </row>
    <row r="787" spans="1:17" x14ac:dyDescent="0.25">
      <c r="A787" t="s">
        <v>2384</v>
      </c>
      <c r="B787" t="str">
        <f>UPPER(Table2[[#This Row],[Brand]])</f>
        <v>EL GANSO</v>
      </c>
      <c r="C787" t="str">
        <f>LOWER(Table2[[#This Row],[Brand]])</f>
        <v>el ganso</v>
      </c>
      <c r="D787" t="str">
        <f>PROPER(Table2[[#This Row],[Brand]])</f>
        <v>El Ganso</v>
      </c>
      <c r="E787" t="s">
        <v>15</v>
      </c>
      <c r="F787">
        <v>56</v>
      </c>
      <c r="G787" t="s">
        <v>2385</v>
      </c>
      <c r="H78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$56.00</v>
      </c>
      <c r="I787" t="str">
        <f>LEFT(Table2[[#This Row],[priceWithCurrency]],3)</f>
        <v xml:space="preserve">US </v>
      </c>
      <c r="J787">
        <v>3</v>
      </c>
      <c r="K787" t="str">
        <f>IF(Table2[[#This Row],[Available]]&lt;=50, "Less Stock", "Required stock" )</f>
        <v>Less Stock</v>
      </c>
      <c r="L787">
        <f t="shared" si="12"/>
        <v>1373.8200000000002</v>
      </c>
      <c r="M787" t="s">
        <v>1349</v>
      </c>
      <c r="N787">
        <v>6</v>
      </c>
      <c r="O787" t="s">
        <v>2386</v>
      </c>
      <c r="P787" t="str">
        <f>RIGHT(RIGHT(Table2[[#This Row],[last Updated]],12),4)</f>
        <v xml:space="preserve"> PDT</v>
      </c>
      <c r="Q787" t="s">
        <v>1379</v>
      </c>
    </row>
    <row r="788" spans="1:17" x14ac:dyDescent="0.25">
      <c r="A788" t="s">
        <v>1419</v>
      </c>
      <c r="B788" t="str">
        <f>UPPER(Table2[[#This Row],[Brand]])</f>
        <v>AVON</v>
      </c>
      <c r="C788" t="str">
        <f>LOWER(Table2[[#This Row],[Brand]])</f>
        <v>avon</v>
      </c>
      <c r="D788" t="str">
        <f>PROPER(Table2[[#This Row],[Brand]])</f>
        <v>Avon</v>
      </c>
      <c r="E788" t="s">
        <v>15</v>
      </c>
      <c r="F788">
        <v>45.9</v>
      </c>
      <c r="G788" t="s">
        <v>2387</v>
      </c>
      <c r="H78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$45.90</v>
      </c>
      <c r="I788" t="str">
        <f>LEFT(Table2[[#This Row],[priceWithCurrency]],3)</f>
        <v xml:space="preserve">US </v>
      </c>
      <c r="J788">
        <v>10</v>
      </c>
      <c r="K788" t="str">
        <f>IF(Table2[[#This Row],[Available]]&lt;=50, "Less Stock", "Required stock" )</f>
        <v>Less Stock</v>
      </c>
      <c r="L788">
        <f t="shared" si="12"/>
        <v>314.57</v>
      </c>
      <c r="M788" t="s">
        <v>2388</v>
      </c>
      <c r="N788">
        <v>74</v>
      </c>
      <c r="O788" t="s">
        <v>2389</v>
      </c>
      <c r="P788" t="str">
        <f>RIGHT(RIGHT(Table2[[#This Row],[last Updated]],12),4)</f>
        <v xml:space="preserve"> PDT</v>
      </c>
      <c r="Q788" t="s">
        <v>2142</v>
      </c>
    </row>
    <row r="789" spans="1:17" x14ac:dyDescent="0.25">
      <c r="A789" t="s">
        <v>2390</v>
      </c>
      <c r="B789" t="str">
        <f>UPPER(Table2[[#This Row],[Brand]])</f>
        <v>VICTOR MANUELLE</v>
      </c>
      <c r="C789" t="str">
        <f>LOWER(Table2[[#This Row],[Brand]])</f>
        <v>victor manuelle</v>
      </c>
      <c r="D789" t="str">
        <f>PROPER(Table2[[#This Row],[Brand]])</f>
        <v>Victor Manuelle</v>
      </c>
      <c r="E789" t="s">
        <v>4</v>
      </c>
      <c r="F789">
        <v>39.99</v>
      </c>
      <c r="G789" t="s">
        <v>96</v>
      </c>
      <c r="H78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$39.99</v>
      </c>
      <c r="I789" t="str">
        <f>LEFT(Table2[[#This Row],[priceWithCurrency]],3)</f>
        <v xml:space="preserve">US </v>
      </c>
      <c r="J789">
        <v>3</v>
      </c>
      <c r="K789" t="str">
        <f>IF(Table2[[#This Row],[Available]]&lt;=50, "Less Stock", "Required stock" )</f>
        <v>Less Stock</v>
      </c>
      <c r="L789">
        <f t="shared" si="12"/>
        <v>314.57</v>
      </c>
      <c r="M789" t="s">
        <v>2391</v>
      </c>
      <c r="N789">
        <v>153</v>
      </c>
      <c r="O789" t="s">
        <v>2392</v>
      </c>
      <c r="P789" t="str">
        <f>RIGHT(RIGHT(Table2[[#This Row],[last Updated]],12),4)</f>
        <v xml:space="preserve"> PDT</v>
      </c>
      <c r="Q789" t="s">
        <v>550</v>
      </c>
    </row>
    <row r="790" spans="1:17" x14ac:dyDescent="0.25">
      <c r="A790" t="s">
        <v>2393</v>
      </c>
      <c r="B790" t="str">
        <f>UPPER(Table2[[#This Row],[Brand]])</f>
        <v>ENGLISH LAUNDRY</v>
      </c>
      <c r="C790" t="str">
        <f>LOWER(Table2[[#This Row],[Brand]])</f>
        <v>english laundry</v>
      </c>
      <c r="D790" t="str">
        <f>PROPER(Table2[[#This Row],[Brand]])</f>
        <v>English Laundry</v>
      </c>
      <c r="E790" t="s">
        <v>276</v>
      </c>
      <c r="F790">
        <v>36.67</v>
      </c>
      <c r="G790" t="s">
        <v>2394</v>
      </c>
      <c r="H79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$36.67</v>
      </c>
      <c r="I790" t="str">
        <f>LEFT(Table2[[#This Row],[priceWithCurrency]],3)</f>
        <v xml:space="preserve">US </v>
      </c>
      <c r="J790">
        <v>10</v>
      </c>
      <c r="K790" t="str">
        <f>IF(Table2[[#This Row],[Available]]&lt;=50, "Less Stock", "Required stock" )</f>
        <v>Less Stock</v>
      </c>
      <c r="L790">
        <f t="shared" si="12"/>
        <v>1390.8500000000001</v>
      </c>
      <c r="M790" t="s">
        <v>2395</v>
      </c>
      <c r="N790">
        <v>169</v>
      </c>
      <c r="O790" t="s">
        <v>2396</v>
      </c>
      <c r="P790" t="str">
        <f>RIGHT(RIGHT(Table2[[#This Row],[last Updated]],12),4)</f>
        <v xml:space="preserve"> PDT</v>
      </c>
      <c r="Q790" t="s">
        <v>226</v>
      </c>
    </row>
    <row r="791" spans="1:17" x14ac:dyDescent="0.25">
      <c r="A791" t="s">
        <v>2397</v>
      </c>
      <c r="B791" t="str">
        <f>UPPER(Table2[[#This Row],[Brand]])</f>
        <v>LUXURY</v>
      </c>
      <c r="C791" t="str">
        <f>LOWER(Table2[[#This Row],[Brand]])</f>
        <v>luxury</v>
      </c>
      <c r="D791" t="str">
        <f>PROPER(Table2[[#This Row],[Brand]])</f>
        <v>Luxury</v>
      </c>
      <c r="E791" t="s">
        <v>15</v>
      </c>
      <c r="F791">
        <v>10.67</v>
      </c>
      <c r="G791" t="s">
        <v>2398</v>
      </c>
      <c r="H79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$10.67</v>
      </c>
      <c r="I791" t="str">
        <f>LEFT(Table2[[#This Row],[priceWithCurrency]],3)</f>
        <v xml:space="preserve">US </v>
      </c>
      <c r="J791">
        <v>57</v>
      </c>
      <c r="K791" t="str">
        <f>IF(Table2[[#This Row],[Available]]&lt;=50, "Less Stock", "Required stock" )</f>
        <v>Required stock</v>
      </c>
      <c r="L791">
        <f t="shared" si="12"/>
        <v>1344.0500000000002</v>
      </c>
      <c r="M791" t="s">
        <v>2399</v>
      </c>
      <c r="N791">
        <v>272</v>
      </c>
      <c r="O791" t="s">
        <v>2400</v>
      </c>
      <c r="P791" t="str">
        <f>RIGHT(RIGHT(Table2[[#This Row],[last Updated]],12),4)</f>
        <v xml:space="preserve"> PDT</v>
      </c>
      <c r="Q791" t="s">
        <v>121</v>
      </c>
    </row>
    <row r="792" spans="1:17" x14ac:dyDescent="0.25">
      <c r="A792" t="s">
        <v>270</v>
      </c>
      <c r="B792" t="str">
        <f>UPPER(Table2[[#This Row],[Brand]])</f>
        <v>YVES SAINT LAURENT</v>
      </c>
      <c r="C792" t="str">
        <f>LOWER(Table2[[#This Row],[Brand]])</f>
        <v>yves saint laurent</v>
      </c>
      <c r="D792" t="str">
        <f>PROPER(Table2[[#This Row],[Brand]])</f>
        <v>Yves Saint Laurent</v>
      </c>
      <c r="E792" t="s">
        <v>15</v>
      </c>
      <c r="F792">
        <v>92</v>
      </c>
      <c r="G792" t="s">
        <v>980</v>
      </c>
      <c r="H79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$92.00</v>
      </c>
      <c r="I792" t="str">
        <f>LEFT(Table2[[#This Row],[priceWithCurrency]],3)</f>
        <v xml:space="preserve">US </v>
      </c>
      <c r="K792" t="str">
        <f>IF(Table2[[#This Row],[Available]]&lt;=50, "Less Stock", "Required stock" )</f>
        <v>Less Stock</v>
      </c>
      <c r="L792">
        <f t="shared" si="12"/>
        <v>1344.0500000000002</v>
      </c>
      <c r="M792" t="s">
        <v>1166</v>
      </c>
      <c r="N792">
        <v>9</v>
      </c>
      <c r="O792" t="s">
        <v>2401</v>
      </c>
      <c r="P792" t="str">
        <f>RIGHT(RIGHT(Table2[[#This Row],[last Updated]],12),4)</f>
        <v xml:space="preserve"> PDT</v>
      </c>
      <c r="Q792" t="s">
        <v>2164</v>
      </c>
    </row>
    <row r="793" spans="1:17" x14ac:dyDescent="0.25">
      <c r="A793" t="s">
        <v>600</v>
      </c>
      <c r="B793" t="str">
        <f>UPPER(Table2[[#This Row],[Brand]])</f>
        <v>MONTBLANC</v>
      </c>
      <c r="C793" t="str">
        <f>LOWER(Table2[[#This Row],[Brand]])</f>
        <v>montblanc</v>
      </c>
      <c r="D793" t="str">
        <f>PROPER(Table2[[#This Row],[Brand]])</f>
        <v>Montblanc</v>
      </c>
      <c r="E793" t="s">
        <v>26</v>
      </c>
      <c r="F793">
        <v>31.29</v>
      </c>
      <c r="G793" t="s">
        <v>2402</v>
      </c>
      <c r="H79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$31.29</v>
      </c>
      <c r="I793" t="str">
        <f>LEFT(Table2[[#This Row],[priceWithCurrency]],3)</f>
        <v xml:space="preserve">US </v>
      </c>
      <c r="J793">
        <v>3</v>
      </c>
      <c r="K793" t="str">
        <f>IF(Table2[[#This Row],[Available]]&lt;=50, "Less Stock", "Required stock" )</f>
        <v>Less Stock</v>
      </c>
      <c r="L793">
        <f t="shared" si="12"/>
        <v>103.50999999999999</v>
      </c>
      <c r="M793" t="s">
        <v>1374</v>
      </c>
      <c r="N793">
        <v>1</v>
      </c>
      <c r="O793" t="s">
        <v>2403</v>
      </c>
      <c r="P793" t="str">
        <f>RIGHT(RIGHT(Table2[[#This Row],[last Updated]],12),4)</f>
        <v xml:space="preserve"> PDT</v>
      </c>
      <c r="Q793" t="s">
        <v>30</v>
      </c>
    </row>
    <row r="794" spans="1:17" x14ac:dyDescent="0.25">
      <c r="A794" t="s">
        <v>666</v>
      </c>
      <c r="B794" t="str">
        <f>UPPER(Table2[[#This Row],[Brand]])</f>
        <v>BATH &amp; BODY WORKS</v>
      </c>
      <c r="C794" t="str">
        <f>LOWER(Table2[[#This Row],[Brand]])</f>
        <v>bath &amp; body works</v>
      </c>
      <c r="D794" t="str">
        <f>PROPER(Table2[[#This Row],[Brand]])</f>
        <v>Bath &amp; Body Works</v>
      </c>
      <c r="E794" t="s">
        <v>335</v>
      </c>
      <c r="F794">
        <v>29.97</v>
      </c>
      <c r="G794" t="s">
        <v>2404</v>
      </c>
      <c r="H79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$29.97</v>
      </c>
      <c r="I794" t="str">
        <f>LEFT(Table2[[#This Row],[priceWithCurrency]],3)</f>
        <v xml:space="preserve">US </v>
      </c>
      <c r="J794">
        <v>4</v>
      </c>
      <c r="K794" t="str">
        <f>IF(Table2[[#This Row],[Available]]&lt;=50, "Less Stock", "Required stock" )</f>
        <v>Less Stock</v>
      </c>
      <c r="L794">
        <f t="shared" si="12"/>
        <v>1862.9200000000005</v>
      </c>
      <c r="M794" t="s">
        <v>2405</v>
      </c>
      <c r="P794" t="str">
        <f>RIGHT(RIGHT(Table2[[#This Row],[last Updated]],12),4)</f>
        <v/>
      </c>
      <c r="Q794" t="s">
        <v>1885</v>
      </c>
    </row>
    <row r="795" spans="1:17" x14ac:dyDescent="0.25">
      <c r="A795" t="s">
        <v>2406</v>
      </c>
      <c r="B795" t="str">
        <f>UPPER(Table2[[#This Row],[Brand]])</f>
        <v>JIL SANDER</v>
      </c>
      <c r="C795" t="str">
        <f>LOWER(Table2[[#This Row],[Brand]])</f>
        <v>jil sander</v>
      </c>
      <c r="D795" t="str">
        <f>PROPER(Table2[[#This Row],[Brand]])</f>
        <v>Jil Sander</v>
      </c>
      <c r="E795" t="s">
        <v>15</v>
      </c>
      <c r="F795">
        <v>27.84</v>
      </c>
      <c r="G795" t="s">
        <v>2407</v>
      </c>
      <c r="H79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$27.84</v>
      </c>
      <c r="I795" t="str">
        <f>LEFT(Table2[[#This Row],[priceWithCurrency]],3)</f>
        <v xml:space="preserve">US </v>
      </c>
      <c r="K795" t="str">
        <f>IF(Table2[[#This Row],[Available]]&lt;=50, "Less Stock", "Required stock" )</f>
        <v>Less Stock</v>
      </c>
      <c r="L795">
        <f t="shared" si="12"/>
        <v>80.930000000000007</v>
      </c>
      <c r="M795" t="s">
        <v>2408</v>
      </c>
      <c r="N795">
        <v>85</v>
      </c>
      <c r="O795" t="s">
        <v>2409</v>
      </c>
      <c r="P795" t="str">
        <f>RIGHT(RIGHT(Table2[[#This Row],[last Updated]],12),4)</f>
        <v xml:space="preserve"> PDT</v>
      </c>
      <c r="Q795" t="s">
        <v>121</v>
      </c>
    </row>
    <row r="796" spans="1:17" x14ac:dyDescent="0.25">
      <c r="A796" t="s">
        <v>61</v>
      </c>
      <c r="B796" t="str">
        <f>UPPER(Table2[[#This Row],[Brand]])</f>
        <v>DOLCE&amp;GABBANA</v>
      </c>
      <c r="C796" t="str">
        <f>LOWER(Table2[[#This Row],[Brand]])</f>
        <v>dolce&amp;gabbana</v>
      </c>
      <c r="D796" t="str">
        <f>PROPER(Table2[[#This Row],[Brand]])</f>
        <v>Dolce&amp;Gabbana</v>
      </c>
      <c r="E796" t="s">
        <v>15</v>
      </c>
      <c r="F796">
        <v>99.99</v>
      </c>
      <c r="G796" t="s">
        <v>2410</v>
      </c>
      <c r="H79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$99.99</v>
      </c>
      <c r="I796" t="str">
        <f>LEFT(Table2[[#This Row],[priceWithCurrency]],3)</f>
        <v xml:space="preserve">US </v>
      </c>
      <c r="J796">
        <v>6</v>
      </c>
      <c r="K796" t="str">
        <f>IF(Table2[[#This Row],[Available]]&lt;=50, "Less Stock", "Required stock" )</f>
        <v>Less Stock</v>
      </c>
      <c r="L796">
        <f t="shared" si="12"/>
        <v>1465.0600000000002</v>
      </c>
      <c r="M796" t="s">
        <v>2411</v>
      </c>
      <c r="N796">
        <v>17</v>
      </c>
      <c r="O796" t="s">
        <v>2412</v>
      </c>
      <c r="P796" t="str">
        <f>RIGHT(RIGHT(Table2[[#This Row],[last Updated]],12),4)</f>
        <v xml:space="preserve"> PDT</v>
      </c>
      <c r="Q796" t="s">
        <v>1860</v>
      </c>
    </row>
    <row r="797" spans="1:17" x14ac:dyDescent="0.25">
      <c r="A797" t="s">
        <v>9</v>
      </c>
      <c r="B797" t="str">
        <f>UPPER(Table2[[#This Row],[Brand]])</f>
        <v>AS SHOW</v>
      </c>
      <c r="C797" t="str">
        <f>LOWER(Table2[[#This Row],[Brand]])</f>
        <v>as show</v>
      </c>
      <c r="D797" t="str">
        <f>PROPER(Table2[[#This Row],[Brand]])</f>
        <v>As Show</v>
      </c>
      <c r="E797" t="s">
        <v>4</v>
      </c>
      <c r="F797">
        <v>99.49</v>
      </c>
      <c r="G797" t="s">
        <v>2413</v>
      </c>
      <c r="H79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$99.49</v>
      </c>
      <c r="I797" t="str">
        <f>LEFT(Table2[[#This Row],[priceWithCurrency]],3)</f>
        <v xml:space="preserve">US </v>
      </c>
      <c r="K797" t="str">
        <f>IF(Table2[[#This Row],[Available]]&lt;=50, "Less Stock", "Required stock" )</f>
        <v>Less Stock</v>
      </c>
      <c r="L797">
        <f t="shared" si="12"/>
        <v>102.18</v>
      </c>
      <c r="M797" t="s">
        <v>478</v>
      </c>
      <c r="N797">
        <v>3</v>
      </c>
      <c r="O797" t="s">
        <v>2414</v>
      </c>
      <c r="P797" t="str">
        <f>RIGHT(RIGHT(Table2[[#This Row],[last Updated]],12),4)</f>
        <v xml:space="preserve"> PDT</v>
      </c>
      <c r="Q797" t="s">
        <v>1143</v>
      </c>
    </row>
    <row r="798" spans="1:17" x14ac:dyDescent="0.25">
      <c r="A798" t="s">
        <v>1468</v>
      </c>
      <c r="B798" t="str">
        <f>UPPER(Table2[[#This Row],[Brand]])</f>
        <v>ACQUA DI PARMA</v>
      </c>
      <c r="C798" t="str">
        <f>LOWER(Table2[[#This Row],[Brand]])</f>
        <v>acqua di parma</v>
      </c>
      <c r="D798" t="str">
        <f>PROPER(Table2[[#This Row],[Brand]])</f>
        <v>Acqua Di Parma</v>
      </c>
      <c r="E798" t="s">
        <v>374</v>
      </c>
      <c r="F798">
        <v>23.95</v>
      </c>
      <c r="G798" t="s">
        <v>2415</v>
      </c>
      <c r="H79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$23.95</v>
      </c>
      <c r="I798" t="str">
        <f>LEFT(Table2[[#This Row],[priceWithCurrency]],3)</f>
        <v xml:space="preserve">US </v>
      </c>
      <c r="K798" t="str">
        <f>IF(Table2[[#This Row],[Available]]&lt;=50, "Less Stock", "Required stock" )</f>
        <v>Less Stock</v>
      </c>
      <c r="L798">
        <f t="shared" si="12"/>
        <v>1433.1100000000001</v>
      </c>
      <c r="M798" t="s">
        <v>2416</v>
      </c>
      <c r="N798">
        <v>78</v>
      </c>
      <c r="O798" t="s">
        <v>2417</v>
      </c>
      <c r="P798" t="str">
        <f>RIGHT(RIGHT(Table2[[#This Row],[last Updated]],12),4)</f>
        <v xml:space="preserve"> PDT</v>
      </c>
      <c r="Q798" t="s">
        <v>793</v>
      </c>
    </row>
    <row r="799" spans="1:17" x14ac:dyDescent="0.25">
      <c r="A799" t="s">
        <v>1036</v>
      </c>
      <c r="B799" t="str">
        <f>UPPER(Table2[[#This Row],[Brand]])</f>
        <v>TOM FORD</v>
      </c>
      <c r="C799" t="str">
        <f>LOWER(Table2[[#This Row],[Brand]])</f>
        <v>tom ford</v>
      </c>
      <c r="D799" t="str">
        <f>PROPER(Table2[[#This Row],[Brand]])</f>
        <v>Tom Ford</v>
      </c>
      <c r="E799" t="s">
        <v>2418</v>
      </c>
      <c r="F799">
        <v>29.99</v>
      </c>
      <c r="G799" t="s">
        <v>91</v>
      </c>
      <c r="H79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$29.99</v>
      </c>
      <c r="I799" t="str">
        <f>LEFT(Table2[[#This Row],[priceWithCurrency]],3)</f>
        <v xml:space="preserve">US </v>
      </c>
      <c r="J799">
        <v>10</v>
      </c>
      <c r="K799" t="str">
        <f>IF(Table2[[#This Row],[Available]]&lt;=50, "Less Stock", "Required stock" )</f>
        <v>Less Stock</v>
      </c>
      <c r="L799">
        <f t="shared" si="12"/>
        <v>1433.1100000000001</v>
      </c>
      <c r="M799" t="s">
        <v>2419</v>
      </c>
      <c r="P799" t="str">
        <f>RIGHT(RIGHT(Table2[[#This Row],[last Updated]],12),4)</f>
        <v/>
      </c>
      <c r="Q799" t="s">
        <v>2420</v>
      </c>
    </row>
    <row r="800" spans="1:17" x14ac:dyDescent="0.25">
      <c r="A800" t="s">
        <v>162</v>
      </c>
      <c r="B800" t="str">
        <f>UPPER(Table2[[#This Row],[Brand]])</f>
        <v>GUY LAROCHE</v>
      </c>
      <c r="C800" t="str">
        <f>LOWER(Table2[[#This Row],[Brand]])</f>
        <v>guy laroche</v>
      </c>
      <c r="D800" t="str">
        <f>PROPER(Table2[[#This Row],[Brand]])</f>
        <v>Guy Laroche</v>
      </c>
      <c r="E800" t="s">
        <v>15</v>
      </c>
      <c r="F800">
        <v>19.989999999999998</v>
      </c>
      <c r="G800" t="s">
        <v>1072</v>
      </c>
      <c r="H80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$19.99</v>
      </c>
      <c r="I800" t="str">
        <f>LEFT(Table2[[#This Row],[priceWithCurrency]],3)</f>
        <v xml:space="preserve">US </v>
      </c>
      <c r="J800">
        <v>3</v>
      </c>
      <c r="K800" t="str">
        <f>IF(Table2[[#This Row],[Available]]&lt;=50, "Less Stock", "Required stock" )</f>
        <v>Less Stock</v>
      </c>
      <c r="L800">
        <f t="shared" si="12"/>
        <v>1929.7300000000005</v>
      </c>
      <c r="M800" t="s">
        <v>2421</v>
      </c>
      <c r="N800">
        <v>58</v>
      </c>
      <c r="O800" t="s">
        <v>2422</v>
      </c>
      <c r="P800" t="str">
        <f>RIGHT(RIGHT(Table2[[#This Row],[last Updated]],12),4)</f>
        <v xml:space="preserve"> PDT</v>
      </c>
      <c r="Q800" t="s">
        <v>2423</v>
      </c>
    </row>
    <row r="801" spans="1:17" x14ac:dyDescent="0.25">
      <c r="A801" t="s">
        <v>593</v>
      </c>
      <c r="B801" t="str">
        <f>UPPER(Table2[[#This Row],[Brand]])</f>
        <v>SALVATORE FERRAGAMO</v>
      </c>
      <c r="C801" t="str">
        <f>LOWER(Table2[[#This Row],[Brand]])</f>
        <v>salvatore ferragamo</v>
      </c>
      <c r="D801" t="str">
        <f>PROPER(Table2[[#This Row],[Brand]])</f>
        <v>Salvatore Ferragamo</v>
      </c>
      <c r="E801" t="s">
        <v>15</v>
      </c>
      <c r="F801">
        <v>26.86</v>
      </c>
      <c r="G801" t="s">
        <v>2424</v>
      </c>
      <c r="H80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$26.86</v>
      </c>
      <c r="I801" t="str">
        <f>LEFT(Table2[[#This Row],[priceWithCurrency]],3)</f>
        <v xml:space="preserve">US </v>
      </c>
      <c r="J801">
        <v>37</v>
      </c>
      <c r="K801" t="str">
        <f>IF(Table2[[#This Row],[Available]]&lt;=50, "Less Stock", "Required stock" )</f>
        <v>Less Stock</v>
      </c>
      <c r="L801">
        <f t="shared" si="12"/>
        <v>99.86</v>
      </c>
      <c r="M801" t="s">
        <v>2425</v>
      </c>
      <c r="N801">
        <v>1047</v>
      </c>
      <c r="O801" t="s">
        <v>2426</v>
      </c>
      <c r="P801" t="str">
        <f>RIGHT(RIGHT(Table2[[#This Row],[last Updated]],12),4)</f>
        <v xml:space="preserve"> PDT</v>
      </c>
      <c r="Q801" t="s">
        <v>121</v>
      </c>
    </row>
    <row r="802" spans="1:17" x14ac:dyDescent="0.25">
      <c r="A802" t="s">
        <v>79</v>
      </c>
      <c r="B802" t="str">
        <f>UPPER(Table2[[#This Row],[Brand]])</f>
        <v>PACO RABANNE</v>
      </c>
      <c r="C802" t="str">
        <f>LOWER(Table2[[#This Row],[Brand]])</f>
        <v>paco rabanne</v>
      </c>
      <c r="D802" t="str">
        <f>PROPER(Table2[[#This Row],[Brand]])</f>
        <v>Paco Rabanne</v>
      </c>
      <c r="E802" t="s">
        <v>4</v>
      </c>
      <c r="F802">
        <v>74.989999999999995</v>
      </c>
      <c r="G802" t="s">
        <v>2427</v>
      </c>
      <c r="H80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$74.99</v>
      </c>
      <c r="I802" t="str">
        <f>LEFT(Table2[[#This Row],[priceWithCurrency]],3)</f>
        <v xml:space="preserve">US </v>
      </c>
      <c r="J802">
        <v>10</v>
      </c>
      <c r="K802" t="str">
        <f>IF(Table2[[#This Row],[Available]]&lt;=50, "Less Stock", "Required stock" )</f>
        <v>Less Stock</v>
      </c>
      <c r="L802">
        <f t="shared" si="12"/>
        <v>1474.5500000000002</v>
      </c>
      <c r="M802" t="s">
        <v>2428</v>
      </c>
      <c r="N802">
        <v>23</v>
      </c>
      <c r="O802" t="s">
        <v>2429</v>
      </c>
      <c r="P802" t="str">
        <f>RIGHT(RIGHT(Table2[[#This Row],[last Updated]],12),4)</f>
        <v xml:space="preserve"> PDT</v>
      </c>
      <c r="Q802" t="s">
        <v>542</v>
      </c>
    </row>
    <row r="803" spans="1:17" x14ac:dyDescent="0.25">
      <c r="A803" t="s">
        <v>180</v>
      </c>
      <c r="B803" t="str">
        <f>UPPER(Table2[[#This Row],[Brand]])</f>
        <v>CALVIN KLEIN</v>
      </c>
      <c r="C803" t="str">
        <f>LOWER(Table2[[#This Row],[Brand]])</f>
        <v>calvin klein</v>
      </c>
      <c r="D803" t="str">
        <f>PROPER(Table2[[#This Row],[Brand]])</f>
        <v>Calvin Klein</v>
      </c>
      <c r="E803" t="s">
        <v>15</v>
      </c>
      <c r="F803">
        <v>31.57</v>
      </c>
      <c r="G803" t="s">
        <v>2430</v>
      </c>
      <c r="H80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$31.57</v>
      </c>
      <c r="I803" t="str">
        <f>LEFT(Table2[[#This Row],[priceWithCurrency]],3)</f>
        <v xml:space="preserve">US </v>
      </c>
      <c r="J803">
        <v>10</v>
      </c>
      <c r="K803" t="str">
        <f>IF(Table2[[#This Row],[Available]]&lt;=50, "Less Stock", "Required stock" )</f>
        <v>Less Stock</v>
      </c>
      <c r="L803">
        <f t="shared" si="12"/>
        <v>12</v>
      </c>
      <c r="M803" t="s">
        <v>2431</v>
      </c>
      <c r="N803">
        <v>287</v>
      </c>
      <c r="O803" t="s">
        <v>2432</v>
      </c>
      <c r="P803" t="str">
        <f>RIGHT(RIGHT(Table2[[#This Row],[last Updated]],12),4)</f>
        <v xml:space="preserve"> PDT</v>
      </c>
      <c r="Q803" t="s">
        <v>108</v>
      </c>
    </row>
    <row r="804" spans="1:17" x14ac:dyDescent="0.25">
      <c r="A804" t="s">
        <v>195</v>
      </c>
      <c r="B804" t="str">
        <f>UPPER(Table2[[#This Row],[Brand]])</f>
        <v>GIVENCHY</v>
      </c>
      <c r="C804" t="str">
        <f>LOWER(Table2[[#This Row],[Brand]])</f>
        <v>givenchy</v>
      </c>
      <c r="D804" t="str">
        <f>PROPER(Table2[[#This Row],[Brand]])</f>
        <v>Givenchy</v>
      </c>
      <c r="E804" t="s">
        <v>15</v>
      </c>
      <c r="F804">
        <v>39.99</v>
      </c>
      <c r="G804" t="s">
        <v>96</v>
      </c>
      <c r="H80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$39.99</v>
      </c>
      <c r="I804" t="str">
        <f>LEFT(Table2[[#This Row],[priceWithCurrency]],3)</f>
        <v xml:space="preserve">US </v>
      </c>
      <c r="J804">
        <v>3</v>
      </c>
      <c r="K804" t="str">
        <f>IF(Table2[[#This Row],[Available]]&lt;=50, "Less Stock", "Required stock" )</f>
        <v>Less Stock</v>
      </c>
      <c r="L804">
        <f t="shared" si="12"/>
        <v>31.99</v>
      </c>
      <c r="M804" t="s">
        <v>2433</v>
      </c>
      <c r="N804">
        <v>45</v>
      </c>
      <c r="O804" t="s">
        <v>2434</v>
      </c>
      <c r="P804" t="str">
        <f>RIGHT(RIGHT(Table2[[#This Row],[last Updated]],12),4)</f>
        <v xml:space="preserve"> PDT</v>
      </c>
      <c r="Q804" t="s">
        <v>2435</v>
      </c>
    </row>
    <row r="805" spans="1:17" x14ac:dyDescent="0.25">
      <c r="A805" t="s">
        <v>1419</v>
      </c>
      <c r="B805" t="str">
        <f>UPPER(Table2[[#This Row],[Brand]])</f>
        <v>AVON</v>
      </c>
      <c r="C805" t="str">
        <f>LOWER(Table2[[#This Row],[Brand]])</f>
        <v>avon</v>
      </c>
      <c r="D805" t="str">
        <f>PROPER(Table2[[#This Row],[Brand]])</f>
        <v>Avon</v>
      </c>
      <c r="E805" t="s">
        <v>374</v>
      </c>
      <c r="F805">
        <v>51.49</v>
      </c>
      <c r="G805" t="s">
        <v>2436</v>
      </c>
      <c r="H80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$51.49</v>
      </c>
      <c r="I805" t="str">
        <f>LEFT(Table2[[#This Row],[priceWithCurrency]],3)</f>
        <v xml:space="preserve">US </v>
      </c>
      <c r="J805">
        <v>10</v>
      </c>
      <c r="K805" t="str">
        <f>IF(Table2[[#This Row],[Available]]&lt;=50, "Less Stock", "Required stock" )</f>
        <v>Less Stock</v>
      </c>
      <c r="L805">
        <f t="shared" si="12"/>
        <v>8.99</v>
      </c>
      <c r="M805" t="s">
        <v>190</v>
      </c>
      <c r="N805">
        <v>37</v>
      </c>
      <c r="O805" t="s">
        <v>2437</v>
      </c>
      <c r="P805" t="str">
        <f>RIGHT(RIGHT(Table2[[#This Row],[last Updated]],12),4)</f>
        <v xml:space="preserve"> PST</v>
      </c>
      <c r="Q805" t="s">
        <v>2438</v>
      </c>
    </row>
    <row r="806" spans="1:17" x14ac:dyDescent="0.25">
      <c r="A806" t="s">
        <v>90</v>
      </c>
      <c r="B806" t="str">
        <f>UPPER(Table2[[#This Row],[Brand]])</f>
        <v>ARMAF</v>
      </c>
      <c r="C806" t="str">
        <f>LOWER(Table2[[#This Row],[Brand]])</f>
        <v>armaf</v>
      </c>
      <c r="D806" t="str">
        <f>PROPER(Table2[[#This Row],[Brand]])</f>
        <v>Armaf</v>
      </c>
      <c r="E806" t="s">
        <v>4</v>
      </c>
      <c r="F806">
        <v>29.03</v>
      </c>
      <c r="G806" t="s">
        <v>2439</v>
      </c>
      <c r="H80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$29.03</v>
      </c>
      <c r="I806" t="str">
        <f>LEFT(Table2[[#This Row],[priceWithCurrency]],3)</f>
        <v xml:space="preserve">US </v>
      </c>
      <c r="J806">
        <v>2</v>
      </c>
      <c r="K806" t="str">
        <f>IF(Table2[[#This Row],[Available]]&lt;=50, "Less Stock", "Required stock" )</f>
        <v>Less Stock</v>
      </c>
      <c r="L806">
        <f t="shared" si="12"/>
        <v>1772.9200000000003</v>
      </c>
      <c r="M806" t="s">
        <v>2342</v>
      </c>
      <c r="N806">
        <v>11</v>
      </c>
      <c r="O806" t="s">
        <v>2440</v>
      </c>
      <c r="P806" t="str">
        <f>RIGHT(RIGHT(Table2[[#This Row],[last Updated]],12),4)</f>
        <v xml:space="preserve"> PDT</v>
      </c>
      <c r="Q806" t="s">
        <v>108</v>
      </c>
    </row>
    <row r="807" spans="1:17" x14ac:dyDescent="0.25">
      <c r="A807" t="s">
        <v>399</v>
      </c>
      <c r="B807" t="str">
        <f>UPPER(Table2[[#This Row],[Brand]])</f>
        <v>MOSCHINO</v>
      </c>
      <c r="C807" t="str">
        <f>LOWER(Table2[[#This Row],[Brand]])</f>
        <v>moschino</v>
      </c>
      <c r="D807" t="str">
        <f>PROPER(Table2[[#This Row],[Brand]])</f>
        <v>Moschino</v>
      </c>
      <c r="E807" t="s">
        <v>4</v>
      </c>
      <c r="F807">
        <v>39.950000000000003</v>
      </c>
      <c r="G807" t="s">
        <v>2441</v>
      </c>
      <c r="H80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$39.95</v>
      </c>
      <c r="I807" t="str">
        <f>LEFT(Table2[[#This Row],[priceWithCurrency]],3)</f>
        <v xml:space="preserve">US </v>
      </c>
      <c r="J807">
        <v>10</v>
      </c>
      <c r="K807" t="str">
        <f>IF(Table2[[#This Row],[Available]]&lt;=50, "Less Stock", "Required stock" )</f>
        <v>Less Stock</v>
      </c>
      <c r="L807">
        <f t="shared" si="12"/>
        <v>1772.9200000000003</v>
      </c>
      <c r="M807" t="s">
        <v>576</v>
      </c>
      <c r="N807">
        <v>5</v>
      </c>
      <c r="O807" t="s">
        <v>2442</v>
      </c>
      <c r="P807" t="str">
        <f>RIGHT(RIGHT(Table2[[#This Row],[last Updated]],12),4)</f>
        <v xml:space="preserve"> PDT</v>
      </c>
      <c r="Q807" t="s">
        <v>2443</v>
      </c>
    </row>
    <row r="808" spans="1:17" x14ac:dyDescent="0.25">
      <c r="A808" t="s">
        <v>25</v>
      </c>
      <c r="B808" t="str">
        <f>UPPER(Table2[[#This Row],[Brand]])</f>
        <v>LATTAFA</v>
      </c>
      <c r="C808" t="str">
        <f>LOWER(Table2[[#This Row],[Brand]])</f>
        <v>lattafa</v>
      </c>
      <c r="D808" t="str">
        <f>PROPER(Table2[[#This Row],[Brand]])</f>
        <v>Lattafa</v>
      </c>
      <c r="E808" t="s">
        <v>4</v>
      </c>
      <c r="F808">
        <v>25.99</v>
      </c>
      <c r="G808" t="s">
        <v>266</v>
      </c>
      <c r="H80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$25.99</v>
      </c>
      <c r="I808" t="str">
        <f>LEFT(Table2[[#This Row],[priceWithCurrency]],3)</f>
        <v xml:space="preserve">US </v>
      </c>
      <c r="J808">
        <v>8</v>
      </c>
      <c r="K808" t="str">
        <f>IF(Table2[[#This Row],[Available]]&lt;=50, "Less Stock", "Required stock" )</f>
        <v>Less Stock</v>
      </c>
      <c r="L808">
        <f t="shared" si="12"/>
        <v>1772.9200000000003</v>
      </c>
      <c r="M808" t="s">
        <v>2444</v>
      </c>
      <c r="N808">
        <v>71</v>
      </c>
      <c r="O808" t="s">
        <v>2445</v>
      </c>
      <c r="P808" t="str">
        <f>RIGHT(RIGHT(Table2[[#This Row],[last Updated]],12),4)</f>
        <v xml:space="preserve"> PDT</v>
      </c>
      <c r="Q808" t="s">
        <v>973</v>
      </c>
    </row>
    <row r="809" spans="1:17" x14ac:dyDescent="0.25">
      <c r="A809" t="s">
        <v>126</v>
      </c>
      <c r="B809" t="str">
        <f>UPPER(Table2[[#This Row],[Brand]])</f>
        <v>AZZARO</v>
      </c>
      <c r="C809" t="str">
        <f>LOWER(Table2[[#This Row],[Brand]])</f>
        <v>azzaro</v>
      </c>
      <c r="D809" t="str">
        <f>PROPER(Table2[[#This Row],[Brand]])</f>
        <v>Azzaro</v>
      </c>
      <c r="E809" t="s">
        <v>15</v>
      </c>
      <c r="F809">
        <v>18.11</v>
      </c>
      <c r="G809" t="s">
        <v>2446</v>
      </c>
      <c r="H80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$18.11</v>
      </c>
      <c r="I809" t="str">
        <f>LEFT(Table2[[#This Row],[priceWithCurrency]],3)</f>
        <v xml:space="preserve">US </v>
      </c>
      <c r="J809">
        <v>10</v>
      </c>
      <c r="K809" t="str">
        <f>IF(Table2[[#This Row],[Available]]&lt;=50, "Less Stock", "Required stock" )</f>
        <v>Less Stock</v>
      </c>
      <c r="L809">
        <f t="shared" si="12"/>
        <v>32.18</v>
      </c>
      <c r="M809" t="s">
        <v>720</v>
      </c>
      <c r="N809">
        <v>12</v>
      </c>
      <c r="O809" t="s">
        <v>2447</v>
      </c>
      <c r="P809" t="str">
        <f>RIGHT(RIGHT(Table2[[#This Row],[last Updated]],12),4)</f>
        <v xml:space="preserve"> PDT</v>
      </c>
      <c r="Q809" t="s">
        <v>1168</v>
      </c>
    </row>
    <row r="810" spans="1:17" x14ac:dyDescent="0.25">
      <c r="A810" t="s">
        <v>61</v>
      </c>
      <c r="B810" t="str">
        <f>UPPER(Table2[[#This Row],[Brand]])</f>
        <v>DOLCE&amp;GABBANA</v>
      </c>
      <c r="C810" t="str">
        <f>LOWER(Table2[[#This Row],[Brand]])</f>
        <v>dolce&amp;gabbana</v>
      </c>
      <c r="D810" t="str">
        <f>PROPER(Table2[[#This Row],[Brand]])</f>
        <v>Dolce&amp;Gabbana</v>
      </c>
      <c r="E810" t="s">
        <v>4</v>
      </c>
      <c r="F810">
        <v>124.99</v>
      </c>
      <c r="G810" t="s">
        <v>1137</v>
      </c>
      <c r="H81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$124.99</v>
      </c>
      <c r="I810" t="str">
        <f>LEFT(Table2[[#This Row],[priceWithCurrency]],3)</f>
        <v xml:space="preserve">US </v>
      </c>
      <c r="J810">
        <v>2</v>
      </c>
      <c r="K810" t="str">
        <f>IF(Table2[[#This Row],[Available]]&lt;=50, "Less Stock", "Required stock" )</f>
        <v>Less Stock</v>
      </c>
      <c r="L810">
        <f t="shared" si="12"/>
        <v>1756.5800000000004</v>
      </c>
      <c r="M810" t="s">
        <v>2448</v>
      </c>
      <c r="N810">
        <v>13</v>
      </c>
      <c r="O810" t="s">
        <v>2449</v>
      </c>
      <c r="P810" t="str">
        <f>RIGHT(RIGHT(Table2[[#This Row],[last Updated]],12),4)</f>
        <v xml:space="preserve"> PDT</v>
      </c>
      <c r="Q810" t="s">
        <v>1860</v>
      </c>
    </row>
    <row r="811" spans="1:17" x14ac:dyDescent="0.25">
      <c r="A811" t="s">
        <v>166</v>
      </c>
      <c r="B811" t="str">
        <f>UPPER(Table2[[#This Row],[Brand]])</f>
        <v>MONTBLANC</v>
      </c>
      <c r="C811" t="str">
        <f>LOWER(Table2[[#This Row],[Brand]])</f>
        <v>montblanc</v>
      </c>
      <c r="D811" t="str">
        <f>PROPER(Table2[[#This Row],[Brand]])</f>
        <v>Montblanc</v>
      </c>
      <c r="E811" t="s">
        <v>4</v>
      </c>
      <c r="F811">
        <v>52.94</v>
      </c>
      <c r="G811" t="s">
        <v>2450</v>
      </c>
      <c r="H81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$52.94</v>
      </c>
      <c r="I811" t="str">
        <f>LEFT(Table2[[#This Row],[priceWithCurrency]],3)</f>
        <v xml:space="preserve">US </v>
      </c>
      <c r="K811" t="str">
        <f>IF(Table2[[#This Row],[Available]]&lt;=50, "Less Stock", "Required stock" )</f>
        <v>Less Stock</v>
      </c>
      <c r="L811">
        <f t="shared" si="12"/>
        <v>1756.5800000000004</v>
      </c>
      <c r="M811" t="s">
        <v>2451</v>
      </c>
      <c r="N811">
        <v>100</v>
      </c>
      <c r="O811" t="s">
        <v>2452</v>
      </c>
      <c r="P811" t="str">
        <f>RIGHT(RIGHT(Table2[[#This Row],[last Updated]],12),4)</f>
        <v xml:space="preserve"> PDT</v>
      </c>
      <c r="Q811" t="s">
        <v>108</v>
      </c>
    </row>
    <row r="812" spans="1:17" x14ac:dyDescent="0.25">
      <c r="A812" t="s">
        <v>2453</v>
      </c>
      <c r="B812" t="str">
        <f>UPPER(Table2[[#This Row],[Brand]])</f>
        <v>MAISON ALHAMBRA</v>
      </c>
      <c r="C812" t="str">
        <f>LOWER(Table2[[#This Row],[Brand]])</f>
        <v>maison alhambra</v>
      </c>
      <c r="D812" t="str">
        <f>PROPER(Table2[[#This Row],[Brand]])</f>
        <v>Maison Alhambra</v>
      </c>
      <c r="E812" t="s">
        <v>32</v>
      </c>
      <c r="F812">
        <v>29.99</v>
      </c>
      <c r="G812" t="s">
        <v>400</v>
      </c>
      <c r="H81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$29.99</v>
      </c>
      <c r="I812" t="str">
        <f>LEFT(Table2[[#This Row],[priceWithCurrency]],3)</f>
        <v xml:space="preserve">US </v>
      </c>
      <c r="J812">
        <v>3</v>
      </c>
      <c r="K812" t="str">
        <f>IF(Table2[[#This Row],[Available]]&lt;=50, "Less Stock", "Required stock" )</f>
        <v>Less Stock</v>
      </c>
      <c r="L812">
        <f t="shared" si="12"/>
        <v>92.27</v>
      </c>
      <c r="M812" t="s">
        <v>2454</v>
      </c>
      <c r="N812">
        <v>42</v>
      </c>
      <c r="O812" t="s">
        <v>2455</v>
      </c>
      <c r="P812" t="str">
        <f>RIGHT(RIGHT(Table2[[#This Row],[last Updated]],12),4)</f>
        <v xml:space="preserve"> PDT</v>
      </c>
      <c r="Q812" t="s">
        <v>89</v>
      </c>
    </row>
    <row r="813" spans="1:17" x14ac:dyDescent="0.25">
      <c r="A813" t="s">
        <v>56</v>
      </c>
      <c r="B813" t="str">
        <f>UPPER(Table2[[#This Row],[Brand]])</f>
        <v>RALPH LAUREN</v>
      </c>
      <c r="C813" t="str">
        <f>LOWER(Table2[[#This Row],[Brand]])</f>
        <v>ralph lauren</v>
      </c>
      <c r="D813" t="str">
        <f>PROPER(Table2[[#This Row],[Brand]])</f>
        <v>Ralph Lauren</v>
      </c>
      <c r="E813" t="s">
        <v>15</v>
      </c>
      <c r="F813">
        <v>32.979999999999997</v>
      </c>
      <c r="G813" t="s">
        <v>1181</v>
      </c>
      <c r="H81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$32.98</v>
      </c>
      <c r="I813" t="str">
        <f>LEFT(Table2[[#This Row],[priceWithCurrency]],3)</f>
        <v xml:space="preserve">US </v>
      </c>
      <c r="J813">
        <v>10</v>
      </c>
      <c r="K813" t="str">
        <f>IF(Table2[[#This Row],[Available]]&lt;=50, "Less Stock", "Required stock" )</f>
        <v>Less Stock</v>
      </c>
      <c r="L813">
        <f t="shared" si="12"/>
        <v>1776.4800000000005</v>
      </c>
      <c r="M813" t="s">
        <v>2456</v>
      </c>
      <c r="N813">
        <v>507</v>
      </c>
      <c r="O813" t="s">
        <v>2457</v>
      </c>
      <c r="P813" t="str">
        <f>RIGHT(RIGHT(Table2[[#This Row],[last Updated]],12),4)</f>
        <v xml:space="preserve"> PDT</v>
      </c>
      <c r="Q813" t="s">
        <v>108</v>
      </c>
    </row>
    <row r="814" spans="1:17" x14ac:dyDescent="0.25">
      <c r="A814" t="s">
        <v>20</v>
      </c>
      <c r="B814" t="str">
        <f>UPPER(Table2[[#This Row],[Brand]])</f>
        <v>GIORGIO ARMANI</v>
      </c>
      <c r="C814" t="str">
        <f>LOWER(Table2[[#This Row],[Brand]])</f>
        <v>giorgio armani</v>
      </c>
      <c r="D814" t="str">
        <f>PROPER(Table2[[#This Row],[Brand]])</f>
        <v>Giorgio Armani</v>
      </c>
      <c r="E814" t="s">
        <v>15</v>
      </c>
      <c r="F814">
        <v>29.99</v>
      </c>
      <c r="G814" t="s">
        <v>91</v>
      </c>
      <c r="H81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$29.99</v>
      </c>
      <c r="I814" t="str">
        <f>LEFT(Table2[[#This Row],[priceWithCurrency]],3)</f>
        <v xml:space="preserve">US </v>
      </c>
      <c r="J814">
        <v>10</v>
      </c>
      <c r="K814" t="str">
        <f>IF(Table2[[#This Row],[Available]]&lt;=50, "Less Stock", "Required stock" )</f>
        <v>Less Stock</v>
      </c>
      <c r="L814">
        <f t="shared" si="12"/>
        <v>1726.4900000000005</v>
      </c>
      <c r="M814" t="s">
        <v>720</v>
      </c>
      <c r="N814">
        <v>12</v>
      </c>
      <c r="O814" t="s">
        <v>2458</v>
      </c>
      <c r="P814" t="str">
        <f>RIGHT(RIGHT(Table2[[#This Row],[last Updated]],12),4)</f>
        <v xml:space="preserve"> PDT</v>
      </c>
      <c r="Q814" t="s">
        <v>2459</v>
      </c>
    </row>
    <row r="815" spans="1:17" x14ac:dyDescent="0.25">
      <c r="A815" t="s">
        <v>20</v>
      </c>
      <c r="B815" t="str">
        <f>UPPER(Table2[[#This Row],[Brand]])</f>
        <v>GIORGIO ARMANI</v>
      </c>
      <c r="C815" t="str">
        <f>LOWER(Table2[[#This Row],[Brand]])</f>
        <v>giorgio armani</v>
      </c>
      <c r="D815" t="str">
        <f>PROPER(Table2[[#This Row],[Brand]])</f>
        <v>Giorgio Armani</v>
      </c>
      <c r="E815" t="s">
        <v>15</v>
      </c>
      <c r="F815">
        <v>37.950000000000003</v>
      </c>
      <c r="G815" t="s">
        <v>2460</v>
      </c>
      <c r="H81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$37.95</v>
      </c>
      <c r="I815" t="str">
        <f>LEFT(Table2[[#This Row],[priceWithCurrency]],3)</f>
        <v xml:space="preserve">US </v>
      </c>
      <c r="J815">
        <v>9</v>
      </c>
      <c r="K815" t="str">
        <f>IF(Table2[[#This Row],[Available]]&lt;=50, "Less Stock", "Required stock" )</f>
        <v>Less Stock</v>
      </c>
      <c r="L815">
        <f t="shared" si="12"/>
        <v>1352.6300000000003</v>
      </c>
      <c r="M815" t="s">
        <v>2461</v>
      </c>
      <c r="N815">
        <v>20</v>
      </c>
      <c r="O815" t="s">
        <v>2462</v>
      </c>
      <c r="P815" t="str">
        <f>RIGHT(RIGHT(Table2[[#This Row],[last Updated]],12),4)</f>
        <v xml:space="preserve"> PDT</v>
      </c>
      <c r="Q815" t="s">
        <v>65</v>
      </c>
    </row>
    <row r="816" spans="1:17" x14ac:dyDescent="0.25">
      <c r="A816" t="s">
        <v>20</v>
      </c>
      <c r="B816" t="str">
        <f>UPPER(Table2[[#This Row],[Brand]])</f>
        <v>GIORGIO ARMANI</v>
      </c>
      <c r="C816" t="str">
        <f>LOWER(Table2[[#This Row],[Brand]])</f>
        <v>giorgio armani</v>
      </c>
      <c r="D816" t="str">
        <f>PROPER(Table2[[#This Row],[Brand]])</f>
        <v>Giorgio Armani</v>
      </c>
      <c r="E816" t="s">
        <v>15</v>
      </c>
      <c r="F816">
        <v>29.99</v>
      </c>
      <c r="G816" t="s">
        <v>91</v>
      </c>
      <c r="H81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$29.99</v>
      </c>
      <c r="I816" t="str">
        <f>LEFT(Table2[[#This Row],[priceWithCurrency]],3)</f>
        <v xml:space="preserve">US </v>
      </c>
      <c r="J816">
        <v>6</v>
      </c>
      <c r="K816" t="str">
        <f>IF(Table2[[#This Row],[Available]]&lt;=50, "Less Stock", "Required stock" )</f>
        <v>Less Stock</v>
      </c>
      <c r="L816">
        <f t="shared" si="12"/>
        <v>1352.6300000000003</v>
      </c>
      <c r="M816" t="s">
        <v>1145</v>
      </c>
      <c r="N816">
        <v>9</v>
      </c>
      <c r="O816" t="s">
        <v>2463</v>
      </c>
      <c r="P816" t="str">
        <f>RIGHT(RIGHT(Table2[[#This Row],[last Updated]],12),4)</f>
        <v xml:space="preserve"> PDT</v>
      </c>
      <c r="Q816" t="s">
        <v>60</v>
      </c>
    </row>
    <row r="817" spans="1:17" x14ac:dyDescent="0.25">
      <c r="A817" t="s">
        <v>76</v>
      </c>
      <c r="B817" t="str">
        <f>UPPER(Table2[[#This Row],[Brand]])</f>
        <v>VERSACE</v>
      </c>
      <c r="C817" t="str">
        <f>LOWER(Table2[[#This Row],[Brand]])</f>
        <v>versace</v>
      </c>
      <c r="D817" t="str">
        <f>PROPER(Table2[[#This Row],[Brand]])</f>
        <v>Versace</v>
      </c>
      <c r="E817" t="s">
        <v>15</v>
      </c>
      <c r="F817">
        <v>20.37</v>
      </c>
      <c r="G817" t="s">
        <v>2464</v>
      </c>
      <c r="H81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$20.37</v>
      </c>
      <c r="I817" t="str">
        <f>LEFT(Table2[[#This Row],[priceWithCurrency]],3)</f>
        <v xml:space="preserve">US </v>
      </c>
      <c r="J817">
        <v>10</v>
      </c>
      <c r="K817" t="str">
        <f>IF(Table2[[#This Row],[Available]]&lt;=50, "Less Stock", "Required stock" )</f>
        <v>Less Stock</v>
      </c>
      <c r="L817">
        <f t="shared" si="12"/>
        <v>1654.7300000000005</v>
      </c>
      <c r="M817" t="s">
        <v>2465</v>
      </c>
      <c r="N817">
        <v>4569</v>
      </c>
      <c r="O817" t="s">
        <v>622</v>
      </c>
      <c r="P817" t="str">
        <f>RIGHT(RIGHT(Table2[[#This Row],[last Updated]],12),4)</f>
        <v xml:space="preserve"> PDT</v>
      </c>
      <c r="Q817" t="s">
        <v>108</v>
      </c>
    </row>
    <row r="818" spans="1:17" x14ac:dyDescent="0.25">
      <c r="A818" t="s">
        <v>56</v>
      </c>
      <c r="B818" t="str">
        <f>UPPER(Table2[[#This Row],[Brand]])</f>
        <v>RALPH LAUREN</v>
      </c>
      <c r="C818" t="str">
        <f>LOWER(Table2[[#This Row],[Brand]])</f>
        <v>ralph lauren</v>
      </c>
      <c r="D818" t="str">
        <f>PROPER(Table2[[#This Row],[Brand]])</f>
        <v>Ralph Lauren</v>
      </c>
      <c r="E818" t="s">
        <v>4</v>
      </c>
      <c r="F818">
        <v>53.99</v>
      </c>
      <c r="G818" t="s">
        <v>2218</v>
      </c>
      <c r="H81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$53.99</v>
      </c>
      <c r="I818" t="str">
        <f>LEFT(Table2[[#This Row],[priceWithCurrency]],3)</f>
        <v xml:space="preserve">US </v>
      </c>
      <c r="J818">
        <v>2</v>
      </c>
      <c r="K818" t="str">
        <f>IF(Table2[[#This Row],[Available]]&lt;=50, "Less Stock", "Required stock" )</f>
        <v>Less Stock</v>
      </c>
      <c r="L818">
        <f t="shared" si="12"/>
        <v>32.18</v>
      </c>
      <c r="M818" t="s">
        <v>1132</v>
      </c>
      <c r="N818">
        <v>16</v>
      </c>
      <c r="O818" t="s">
        <v>2466</v>
      </c>
      <c r="P818" t="str">
        <f>RIGHT(RIGHT(Table2[[#This Row],[last Updated]],12),4)</f>
        <v xml:space="preserve"> PDT</v>
      </c>
      <c r="Q818" t="s">
        <v>1168</v>
      </c>
    </row>
    <row r="819" spans="1:17" x14ac:dyDescent="0.25">
      <c r="A819" t="s">
        <v>79</v>
      </c>
      <c r="B819" t="str">
        <f>UPPER(Table2[[#This Row],[Brand]])</f>
        <v>PACO RABANNE</v>
      </c>
      <c r="C819" t="str">
        <f>LOWER(Table2[[#This Row],[Brand]])</f>
        <v>paco rabanne</v>
      </c>
      <c r="D819" t="str">
        <f>PROPER(Table2[[#This Row],[Brand]])</f>
        <v>Paco Rabanne</v>
      </c>
      <c r="E819" t="s">
        <v>15</v>
      </c>
      <c r="F819">
        <v>45.99</v>
      </c>
      <c r="G819" t="s">
        <v>2467</v>
      </c>
      <c r="H81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$45.99</v>
      </c>
      <c r="I819" t="str">
        <f>LEFT(Table2[[#This Row],[priceWithCurrency]],3)</f>
        <v xml:space="preserve">US </v>
      </c>
      <c r="J819">
        <v>10</v>
      </c>
      <c r="K819" t="str">
        <f>IF(Table2[[#This Row],[Available]]&lt;=50, "Less Stock", "Required stock" )</f>
        <v>Less Stock</v>
      </c>
      <c r="L819">
        <f t="shared" si="12"/>
        <v>1715.2600000000004</v>
      </c>
      <c r="M819" t="s">
        <v>2468</v>
      </c>
      <c r="N819">
        <v>2452</v>
      </c>
      <c r="O819" t="s">
        <v>2469</v>
      </c>
      <c r="P819" t="str">
        <f>RIGHT(RIGHT(Table2[[#This Row],[last Updated]],12),4)</f>
        <v xml:space="preserve"> PDT</v>
      </c>
      <c r="Q819" t="s">
        <v>108</v>
      </c>
    </row>
    <row r="820" spans="1:17" x14ac:dyDescent="0.25">
      <c r="A820" t="s">
        <v>1235</v>
      </c>
      <c r="B820" t="str">
        <f>UPPER(Table2[[#This Row],[Brand]])</f>
        <v>PRADA</v>
      </c>
      <c r="C820" t="str">
        <f>LOWER(Table2[[#This Row],[Brand]])</f>
        <v>prada</v>
      </c>
      <c r="D820" t="str">
        <f>PROPER(Table2[[#This Row],[Brand]])</f>
        <v>Prada</v>
      </c>
      <c r="E820" t="s">
        <v>15</v>
      </c>
      <c r="F820">
        <v>68.55</v>
      </c>
      <c r="G820" t="s">
        <v>2470</v>
      </c>
      <c r="H82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$68.55</v>
      </c>
      <c r="I820" t="str">
        <f>LEFT(Table2[[#This Row],[priceWithCurrency]],3)</f>
        <v xml:space="preserve">US </v>
      </c>
      <c r="J820">
        <v>10</v>
      </c>
      <c r="K820" t="str">
        <f>IF(Table2[[#This Row],[Available]]&lt;=50, "Less Stock", "Required stock" )</f>
        <v>Less Stock</v>
      </c>
      <c r="L820">
        <f t="shared" si="12"/>
        <v>1684.2800000000004</v>
      </c>
      <c r="M820" t="s">
        <v>2471</v>
      </c>
      <c r="N820">
        <v>65</v>
      </c>
      <c r="O820" t="s">
        <v>2472</v>
      </c>
      <c r="P820" t="str">
        <f>RIGHT(RIGHT(Table2[[#This Row],[last Updated]],12),4)</f>
        <v xml:space="preserve"> PDT</v>
      </c>
      <c r="Q820" t="s">
        <v>2473</v>
      </c>
    </row>
    <row r="821" spans="1:17" x14ac:dyDescent="0.25">
      <c r="A821" t="s">
        <v>79</v>
      </c>
      <c r="B821" t="str">
        <f>UPPER(Table2[[#This Row],[Brand]])</f>
        <v>PACO RABANNE</v>
      </c>
      <c r="C821" t="str">
        <f>LOWER(Table2[[#This Row],[Brand]])</f>
        <v>paco rabanne</v>
      </c>
      <c r="D821" t="str">
        <f>PROPER(Table2[[#This Row],[Brand]])</f>
        <v>Paco Rabanne</v>
      </c>
      <c r="E821" t="s">
        <v>15</v>
      </c>
      <c r="F821">
        <v>39.99</v>
      </c>
      <c r="G821" t="s">
        <v>96</v>
      </c>
      <c r="H82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$39.99</v>
      </c>
      <c r="I821" t="str">
        <f>LEFT(Table2[[#This Row],[priceWithCurrency]],3)</f>
        <v xml:space="preserve">US </v>
      </c>
      <c r="J821">
        <v>5</v>
      </c>
      <c r="K821" t="str">
        <f>IF(Table2[[#This Row],[Available]]&lt;=50, "Less Stock", "Required stock" )</f>
        <v>Less Stock</v>
      </c>
      <c r="L821">
        <f t="shared" si="12"/>
        <v>1245.6300000000003</v>
      </c>
      <c r="M821" t="s">
        <v>2474</v>
      </c>
      <c r="N821">
        <v>23</v>
      </c>
      <c r="O821" t="s">
        <v>2475</v>
      </c>
      <c r="P821" t="str">
        <f>RIGHT(RIGHT(Table2[[#This Row],[last Updated]],12),4)</f>
        <v xml:space="preserve"> PDT</v>
      </c>
      <c r="Q821" t="s">
        <v>406</v>
      </c>
    </row>
    <row r="822" spans="1:17" x14ac:dyDescent="0.25">
      <c r="A822" t="s">
        <v>2476</v>
      </c>
      <c r="B822" t="str">
        <f>UPPER(Table2[[#This Row],[Brand]])</f>
        <v>HYBRID &amp; COMPANY</v>
      </c>
      <c r="C822" t="str">
        <f>LOWER(Table2[[#This Row],[Brand]])</f>
        <v>hybrid &amp; company</v>
      </c>
      <c r="D822" t="str">
        <f>PROPER(Table2[[#This Row],[Brand]])</f>
        <v>Hybrid &amp; Company</v>
      </c>
      <c r="E822" t="s">
        <v>32</v>
      </c>
      <c r="F822">
        <v>24.19</v>
      </c>
      <c r="G822" t="s">
        <v>2477</v>
      </c>
      <c r="H82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$24.19</v>
      </c>
      <c r="I822" t="str">
        <f>LEFT(Table2[[#This Row],[priceWithCurrency]],3)</f>
        <v xml:space="preserve">US </v>
      </c>
      <c r="J822">
        <v>15</v>
      </c>
      <c r="K822" t="str">
        <f>IF(Table2[[#This Row],[Available]]&lt;=50, "Less Stock", "Required stock" )</f>
        <v>Less Stock</v>
      </c>
      <c r="L822">
        <f t="shared" si="12"/>
        <v>15.99</v>
      </c>
      <c r="M822" t="s">
        <v>2478</v>
      </c>
      <c r="N822">
        <v>73</v>
      </c>
      <c r="O822" t="s">
        <v>2479</v>
      </c>
      <c r="P822" t="str">
        <f>RIGHT(RIGHT(Table2[[#This Row],[last Updated]],12),4)</f>
        <v xml:space="preserve"> PDT</v>
      </c>
      <c r="Q822" t="s">
        <v>2480</v>
      </c>
    </row>
    <row r="823" spans="1:17" x14ac:dyDescent="0.25">
      <c r="A823" t="s">
        <v>2481</v>
      </c>
      <c r="B823" t="str">
        <f>UPPER(Table2[[#This Row],[Brand]])</f>
        <v>PERRY ELLIS</v>
      </c>
      <c r="C823" t="str">
        <f>LOWER(Table2[[#This Row],[Brand]])</f>
        <v>perry ellis</v>
      </c>
      <c r="D823" t="str">
        <f>PROPER(Table2[[#This Row],[Brand]])</f>
        <v>Perry Ellis</v>
      </c>
      <c r="E823" t="s">
        <v>15</v>
      </c>
      <c r="F823">
        <v>23.01</v>
      </c>
      <c r="G823" t="s">
        <v>2482</v>
      </c>
      <c r="H82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$23.01</v>
      </c>
      <c r="I823" t="str">
        <f>LEFT(Table2[[#This Row],[priceWithCurrency]],3)</f>
        <v xml:space="preserve">US </v>
      </c>
      <c r="J823">
        <v>5</v>
      </c>
      <c r="K823" t="str">
        <f>IF(Table2[[#This Row],[Available]]&lt;=50, "Less Stock", "Required stock" )</f>
        <v>Less Stock</v>
      </c>
      <c r="L823">
        <f t="shared" si="12"/>
        <v>54.85</v>
      </c>
      <c r="M823" t="s">
        <v>2483</v>
      </c>
      <c r="N823">
        <v>2611</v>
      </c>
      <c r="O823" t="s">
        <v>2484</v>
      </c>
      <c r="P823" t="str">
        <f>RIGHT(RIGHT(Table2[[#This Row],[last Updated]],12),4)</f>
        <v xml:space="preserve"> PDT</v>
      </c>
      <c r="Q823" t="s">
        <v>108</v>
      </c>
    </row>
    <row r="824" spans="1:17" x14ac:dyDescent="0.25">
      <c r="A824" t="s">
        <v>543</v>
      </c>
      <c r="B824" t="str">
        <f>UPPER(Table2[[#This Row],[Brand]])</f>
        <v>JEAN PAUL GAULTIER</v>
      </c>
      <c r="C824" t="str">
        <f>LOWER(Table2[[#This Row],[Brand]])</f>
        <v>jean paul gaultier</v>
      </c>
      <c r="D824" t="str">
        <f>PROPER(Table2[[#This Row],[Brand]])</f>
        <v>Jean Paul Gaultier</v>
      </c>
      <c r="E824" t="s">
        <v>15</v>
      </c>
      <c r="F824">
        <v>136</v>
      </c>
      <c r="G824" t="s">
        <v>2485</v>
      </c>
      <c r="H82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$136.00</v>
      </c>
      <c r="I824" t="str">
        <f>LEFT(Table2[[#This Row],[priceWithCurrency]],3)</f>
        <v xml:space="preserve">US </v>
      </c>
      <c r="J824">
        <v>5</v>
      </c>
      <c r="K824" t="str">
        <f>IF(Table2[[#This Row],[Available]]&lt;=50, "Less Stock", "Required stock" )</f>
        <v>Less Stock</v>
      </c>
      <c r="L824">
        <f t="shared" si="12"/>
        <v>42.39</v>
      </c>
      <c r="M824" t="s">
        <v>2486</v>
      </c>
      <c r="N824">
        <v>51</v>
      </c>
      <c r="O824" t="s">
        <v>2487</v>
      </c>
      <c r="P824" t="str">
        <f>RIGHT(RIGHT(Table2[[#This Row],[last Updated]],12),4)</f>
        <v xml:space="preserve"> PDT</v>
      </c>
      <c r="Q824" t="s">
        <v>89</v>
      </c>
    </row>
    <row r="825" spans="1:17" x14ac:dyDescent="0.25">
      <c r="A825" t="s">
        <v>25</v>
      </c>
      <c r="B825" t="str">
        <f>UPPER(Table2[[#This Row],[Brand]])</f>
        <v>LATTAFA</v>
      </c>
      <c r="C825" t="str">
        <f>LOWER(Table2[[#This Row],[Brand]])</f>
        <v>lattafa</v>
      </c>
      <c r="D825" t="str">
        <f>PROPER(Table2[[#This Row],[Brand]])</f>
        <v>Lattafa</v>
      </c>
      <c r="E825" t="s">
        <v>4</v>
      </c>
      <c r="F825">
        <v>16.899999999999999</v>
      </c>
      <c r="G825" t="s">
        <v>2488</v>
      </c>
      <c r="H82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$16.90</v>
      </c>
      <c r="I825" t="str">
        <f>LEFT(Table2[[#This Row],[priceWithCurrency]],3)</f>
        <v xml:space="preserve">US </v>
      </c>
      <c r="J825">
        <v>10</v>
      </c>
      <c r="K825" t="str">
        <f>IF(Table2[[#This Row],[Available]]&lt;=50, "Less Stock", "Required stock" )</f>
        <v>Less Stock</v>
      </c>
      <c r="L825">
        <f t="shared" si="12"/>
        <v>1272.6200000000003</v>
      </c>
      <c r="M825" t="s">
        <v>2489</v>
      </c>
      <c r="N825">
        <v>127</v>
      </c>
      <c r="O825" t="s">
        <v>2490</v>
      </c>
      <c r="P825" t="str">
        <f>RIGHT(RIGHT(Table2[[#This Row],[last Updated]],12),4)</f>
        <v xml:space="preserve"> PDT</v>
      </c>
      <c r="Q825" t="s">
        <v>108</v>
      </c>
    </row>
    <row r="826" spans="1:17" x14ac:dyDescent="0.25">
      <c r="A826" t="s">
        <v>2491</v>
      </c>
      <c r="B826" t="str">
        <f>UPPER(Table2[[#This Row],[Brand]])</f>
        <v>HOUBIGANT</v>
      </c>
      <c r="C826" t="str">
        <f>LOWER(Table2[[#This Row],[Brand]])</f>
        <v>houbigant</v>
      </c>
      <c r="D826" t="str">
        <f>PROPER(Table2[[#This Row],[Brand]])</f>
        <v>Houbigant</v>
      </c>
      <c r="E826" t="s">
        <v>15</v>
      </c>
      <c r="F826">
        <v>68</v>
      </c>
      <c r="G826" t="s">
        <v>2492</v>
      </c>
      <c r="H82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$68.00</v>
      </c>
      <c r="I826" t="str">
        <f>LEFT(Table2[[#This Row],[priceWithCurrency]],3)</f>
        <v xml:space="preserve">US </v>
      </c>
      <c r="J826">
        <v>6</v>
      </c>
      <c r="K826" t="str">
        <f>IF(Table2[[#This Row],[Available]]&lt;=50, "Less Stock", "Required stock" )</f>
        <v>Less Stock</v>
      </c>
      <c r="L826">
        <f t="shared" si="12"/>
        <v>1253.7300000000002</v>
      </c>
      <c r="M826" t="s">
        <v>2493</v>
      </c>
      <c r="N826">
        <v>33</v>
      </c>
      <c r="O826" t="s">
        <v>2494</v>
      </c>
      <c r="P826" t="str">
        <f>RIGHT(RIGHT(Table2[[#This Row],[last Updated]],12),4)</f>
        <v xml:space="preserve"> PDT</v>
      </c>
      <c r="Q826" t="s">
        <v>657</v>
      </c>
    </row>
    <row r="827" spans="1:17" x14ac:dyDescent="0.25">
      <c r="A827" t="s">
        <v>56</v>
      </c>
      <c r="B827" t="str">
        <f>UPPER(Table2[[#This Row],[Brand]])</f>
        <v>RALPH LAUREN</v>
      </c>
      <c r="C827" t="str">
        <f>LOWER(Table2[[#This Row],[Brand]])</f>
        <v>ralph lauren</v>
      </c>
      <c r="D827" t="str">
        <f>PROPER(Table2[[#This Row],[Brand]])</f>
        <v>Ralph Lauren</v>
      </c>
      <c r="E827" t="s">
        <v>15</v>
      </c>
      <c r="F827">
        <v>25</v>
      </c>
      <c r="G827" t="s">
        <v>1012</v>
      </c>
      <c r="H82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$25.00</v>
      </c>
      <c r="I827" t="str">
        <f>LEFT(Table2[[#This Row],[priceWithCurrency]],3)</f>
        <v xml:space="preserve">US </v>
      </c>
      <c r="J827">
        <v>5</v>
      </c>
      <c r="K827" t="str">
        <f>IF(Table2[[#This Row],[Available]]&lt;=50, "Less Stock", "Required stock" )</f>
        <v>Less Stock</v>
      </c>
      <c r="L827">
        <f t="shared" si="12"/>
        <v>1278.0800000000002</v>
      </c>
      <c r="M827" t="s">
        <v>1637</v>
      </c>
      <c r="N827">
        <v>8</v>
      </c>
      <c r="O827" t="s">
        <v>2495</v>
      </c>
      <c r="P827" t="str">
        <f>RIGHT(RIGHT(Table2[[#This Row],[last Updated]],12),4)</f>
        <v xml:space="preserve"> PDT</v>
      </c>
      <c r="Q827" t="s">
        <v>2496</v>
      </c>
    </row>
    <row r="828" spans="1:17" x14ac:dyDescent="0.25">
      <c r="A828" t="s">
        <v>705</v>
      </c>
      <c r="B828" t="str">
        <f>UPPER(Table2[[#This Row],[Brand]])</f>
        <v>HUGO BOSS</v>
      </c>
      <c r="C828" t="str">
        <f>LOWER(Table2[[#This Row],[Brand]])</f>
        <v>hugo boss</v>
      </c>
      <c r="D828" t="str">
        <f>PROPER(Table2[[#This Row],[Brand]])</f>
        <v>Hugo Boss</v>
      </c>
      <c r="E828" t="s">
        <v>15</v>
      </c>
      <c r="F828">
        <v>50.79</v>
      </c>
      <c r="G828" t="s">
        <v>2497</v>
      </c>
      <c r="H82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$50.79</v>
      </c>
      <c r="I828" t="str">
        <f>LEFT(Table2[[#This Row],[priceWithCurrency]],3)</f>
        <v xml:space="preserve">US </v>
      </c>
      <c r="K828" t="str">
        <f>IF(Table2[[#This Row],[Available]]&lt;=50, "Less Stock", "Required stock" )</f>
        <v>Less Stock</v>
      </c>
      <c r="L828">
        <f t="shared" si="12"/>
        <v>1603.3600000000001</v>
      </c>
      <c r="M828" t="s">
        <v>2498</v>
      </c>
      <c r="N828">
        <v>7506</v>
      </c>
      <c r="O828" t="s">
        <v>622</v>
      </c>
      <c r="P828" t="str">
        <f>RIGHT(RIGHT(Table2[[#This Row],[last Updated]],12),4)</f>
        <v xml:space="preserve"> PDT</v>
      </c>
      <c r="Q828" t="s">
        <v>108</v>
      </c>
    </row>
    <row r="829" spans="1:17" x14ac:dyDescent="0.25">
      <c r="A829" t="s">
        <v>25</v>
      </c>
      <c r="B829" t="str">
        <f>UPPER(Table2[[#This Row],[Brand]])</f>
        <v>LATTAFA</v>
      </c>
      <c r="C829" t="str">
        <f>LOWER(Table2[[#This Row],[Brand]])</f>
        <v>lattafa</v>
      </c>
      <c r="D829" t="str">
        <f>PROPER(Table2[[#This Row],[Brand]])</f>
        <v>Lattafa</v>
      </c>
      <c r="E829" t="s">
        <v>4</v>
      </c>
      <c r="F829">
        <v>17.18</v>
      </c>
      <c r="G829" t="s">
        <v>2499</v>
      </c>
      <c r="H82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$17.18</v>
      </c>
      <c r="I829" t="str">
        <f>LEFT(Table2[[#This Row],[priceWithCurrency]],3)</f>
        <v xml:space="preserve">US </v>
      </c>
      <c r="J829">
        <v>10</v>
      </c>
      <c r="K829" t="str">
        <f>IF(Table2[[#This Row],[Available]]&lt;=50, "Less Stock", "Required stock" )</f>
        <v>Less Stock</v>
      </c>
      <c r="L829">
        <f t="shared" si="12"/>
        <v>1668.0000000000005</v>
      </c>
      <c r="M829" t="s">
        <v>783</v>
      </c>
      <c r="N829">
        <v>65</v>
      </c>
      <c r="O829" t="s">
        <v>2500</v>
      </c>
      <c r="P829" t="str">
        <f>RIGHT(RIGHT(Table2[[#This Row],[last Updated]],12),4)</f>
        <v xml:space="preserve"> PDT</v>
      </c>
      <c r="Q829" t="s">
        <v>108</v>
      </c>
    </row>
    <row r="830" spans="1:17" x14ac:dyDescent="0.25">
      <c r="A830" t="s">
        <v>2481</v>
      </c>
      <c r="B830" t="str">
        <f>UPPER(Table2[[#This Row],[Brand]])</f>
        <v>PERRY ELLIS</v>
      </c>
      <c r="C830" t="str">
        <f>LOWER(Table2[[#This Row],[Brand]])</f>
        <v>perry ellis</v>
      </c>
      <c r="D830" t="str">
        <f>PROPER(Table2[[#This Row],[Brand]])</f>
        <v>Perry Ellis</v>
      </c>
      <c r="E830" t="s">
        <v>15</v>
      </c>
      <c r="F830">
        <v>21.91</v>
      </c>
      <c r="G830" t="s">
        <v>2501</v>
      </c>
      <c r="H83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$21.91</v>
      </c>
      <c r="I830" t="str">
        <f>LEFT(Table2[[#This Row],[priceWithCurrency]],3)</f>
        <v xml:space="preserve">US </v>
      </c>
      <c r="J830">
        <v>96</v>
      </c>
      <c r="K830" t="str">
        <f>IF(Table2[[#This Row],[Available]]&lt;=50, "Less Stock", "Required stock" )</f>
        <v>Required stock</v>
      </c>
      <c r="L830">
        <f t="shared" si="12"/>
        <v>1253.73</v>
      </c>
      <c r="M830" t="s">
        <v>2502</v>
      </c>
      <c r="N830">
        <v>1831</v>
      </c>
      <c r="O830" t="s">
        <v>2503</v>
      </c>
      <c r="P830" t="str">
        <f>RIGHT(RIGHT(Table2[[#This Row],[last Updated]],12),4)</f>
        <v xml:space="preserve"> PDT</v>
      </c>
      <c r="Q830" t="s">
        <v>121</v>
      </c>
    </row>
    <row r="831" spans="1:17" x14ac:dyDescent="0.25">
      <c r="A831" t="s">
        <v>525</v>
      </c>
      <c r="B831" t="str">
        <f>UPPER(Table2[[#This Row],[Brand]])</f>
        <v>ZARA</v>
      </c>
      <c r="C831" t="str">
        <f>LOWER(Table2[[#This Row],[Brand]])</f>
        <v>zara</v>
      </c>
      <c r="D831" t="str">
        <f>PROPER(Table2[[#This Row],[Brand]])</f>
        <v>Zara</v>
      </c>
      <c r="E831" t="s">
        <v>4</v>
      </c>
      <c r="F831">
        <v>48.97</v>
      </c>
      <c r="G831" t="s">
        <v>2504</v>
      </c>
      <c r="H83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$48.97</v>
      </c>
      <c r="I831" t="str">
        <f>LEFT(Table2[[#This Row],[priceWithCurrency]],3)</f>
        <v xml:space="preserve">US </v>
      </c>
      <c r="J831">
        <v>4</v>
      </c>
      <c r="K831" t="str">
        <f>IF(Table2[[#This Row],[Available]]&lt;=50, "Less Stock", "Required stock" )</f>
        <v>Less Stock</v>
      </c>
      <c r="L831">
        <f t="shared" si="12"/>
        <v>1277.3499999999999</v>
      </c>
      <c r="M831" t="s">
        <v>2505</v>
      </c>
      <c r="N831">
        <v>30</v>
      </c>
      <c r="O831" t="s">
        <v>2506</v>
      </c>
      <c r="P831" t="str">
        <f>RIGHT(RIGHT(Table2[[#This Row],[last Updated]],12),4)</f>
        <v xml:space="preserve"> PDT</v>
      </c>
      <c r="Q831" t="s">
        <v>2507</v>
      </c>
    </row>
    <row r="832" spans="1:17" x14ac:dyDescent="0.25">
      <c r="A832" t="s">
        <v>728</v>
      </c>
      <c r="B832" t="str">
        <f>UPPER(Table2[[#This Row],[Brand]])</f>
        <v>TOMMY BAHAMA</v>
      </c>
      <c r="C832" t="str">
        <f>LOWER(Table2[[#This Row],[Brand]])</f>
        <v>tommy bahama</v>
      </c>
      <c r="D832" t="str">
        <f>PROPER(Table2[[#This Row],[Brand]])</f>
        <v>Tommy Bahama</v>
      </c>
      <c r="E832" t="s">
        <v>374</v>
      </c>
      <c r="F832">
        <v>25.99</v>
      </c>
      <c r="G832" t="s">
        <v>266</v>
      </c>
      <c r="H83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$25.99</v>
      </c>
      <c r="I832" t="str">
        <f>LEFT(Table2[[#This Row],[priceWithCurrency]],3)</f>
        <v xml:space="preserve">US </v>
      </c>
      <c r="J832">
        <v>6</v>
      </c>
      <c r="K832" t="str">
        <f>IF(Table2[[#This Row],[Available]]&lt;=50, "Less Stock", "Required stock" )</f>
        <v>Less Stock</v>
      </c>
      <c r="L832">
        <f t="shared" si="12"/>
        <v>15.39</v>
      </c>
      <c r="M832" t="s">
        <v>2508</v>
      </c>
      <c r="N832">
        <v>209</v>
      </c>
      <c r="O832" t="s">
        <v>2509</v>
      </c>
      <c r="P832" t="str">
        <f>RIGHT(RIGHT(Table2[[#This Row],[last Updated]],12),4)</f>
        <v xml:space="preserve"> PDT</v>
      </c>
      <c r="Q832" t="s">
        <v>1121</v>
      </c>
    </row>
    <row r="833" spans="1:17" x14ac:dyDescent="0.25">
      <c r="A833" t="s">
        <v>1833</v>
      </c>
      <c r="B833" t="str">
        <f>UPPER(Table2[[#This Row],[Brand]])</f>
        <v>GUERLAIN</v>
      </c>
      <c r="C833" t="str">
        <f>LOWER(Table2[[#This Row],[Brand]])</f>
        <v>guerlain</v>
      </c>
      <c r="D833" t="str">
        <f>PROPER(Table2[[#This Row],[Brand]])</f>
        <v>Guerlain</v>
      </c>
      <c r="E833" t="s">
        <v>374</v>
      </c>
      <c r="F833">
        <v>96.95</v>
      </c>
      <c r="G833" t="s">
        <v>2510</v>
      </c>
      <c r="H83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$96.95</v>
      </c>
      <c r="I833" t="str">
        <f>LEFT(Table2[[#This Row],[priceWithCurrency]],3)</f>
        <v xml:space="preserve">US </v>
      </c>
      <c r="J833">
        <v>2</v>
      </c>
      <c r="K833" t="str">
        <f>IF(Table2[[#This Row],[Available]]&lt;=50, "Less Stock", "Required stock" )</f>
        <v>Less Stock</v>
      </c>
      <c r="L833">
        <f t="shared" si="12"/>
        <v>102.18</v>
      </c>
      <c r="M833" t="s">
        <v>760</v>
      </c>
      <c r="N833">
        <v>6</v>
      </c>
      <c r="O833" t="s">
        <v>2511</v>
      </c>
      <c r="P833" t="str">
        <f>RIGHT(RIGHT(Table2[[#This Row],[last Updated]],12),4)</f>
        <v xml:space="preserve"> PDT</v>
      </c>
      <c r="Q833" t="s">
        <v>89</v>
      </c>
    </row>
    <row r="834" spans="1:17" x14ac:dyDescent="0.25">
      <c r="A834" t="s">
        <v>9</v>
      </c>
      <c r="B834" t="str">
        <f>UPPER(Table2[[#This Row],[Brand]])</f>
        <v>AS SHOW</v>
      </c>
      <c r="C834" t="str">
        <f>LOWER(Table2[[#This Row],[Brand]])</f>
        <v>as show</v>
      </c>
      <c r="D834" t="str">
        <f>PROPER(Table2[[#This Row],[Brand]])</f>
        <v>As Show</v>
      </c>
      <c r="E834" t="s">
        <v>4</v>
      </c>
      <c r="F834">
        <v>74.989999999999995</v>
      </c>
      <c r="G834" t="s">
        <v>2427</v>
      </c>
      <c r="H83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$74.99</v>
      </c>
      <c r="I834" t="str">
        <f>LEFT(Table2[[#This Row],[priceWithCurrency]],3)</f>
        <v xml:space="preserve">US </v>
      </c>
      <c r="J834">
        <v>2</v>
      </c>
      <c r="K834" t="str">
        <f>IF(Table2[[#This Row],[Available]]&lt;=50, "Less Stock", "Required stock" )</f>
        <v>Less Stock</v>
      </c>
      <c r="L834">
        <f t="shared" ref="L834:L897" si="13">SUMIF(E834:E914,E878,F878:F1833)</f>
        <v>1633.0100000000002</v>
      </c>
      <c r="M834" t="s">
        <v>137</v>
      </c>
      <c r="N834">
        <v>4</v>
      </c>
      <c r="O834" t="s">
        <v>2512</v>
      </c>
      <c r="P834" t="str">
        <f>RIGHT(RIGHT(Table2[[#This Row],[last Updated]],12),4)</f>
        <v xml:space="preserve"> PDT</v>
      </c>
      <c r="Q834" t="s">
        <v>413</v>
      </c>
    </row>
    <row r="835" spans="1:17" x14ac:dyDescent="0.25">
      <c r="A835" t="s">
        <v>25</v>
      </c>
      <c r="B835" t="str">
        <f>UPPER(Table2[[#This Row],[Brand]])</f>
        <v>LATTAFA</v>
      </c>
      <c r="C835" t="str">
        <f>LOWER(Table2[[#This Row],[Brand]])</f>
        <v>lattafa</v>
      </c>
      <c r="D835" t="str">
        <f>PROPER(Table2[[#This Row],[Brand]])</f>
        <v>Lattafa</v>
      </c>
      <c r="E835" t="s">
        <v>4</v>
      </c>
      <c r="F835">
        <v>23.89</v>
      </c>
      <c r="G835" t="s">
        <v>332</v>
      </c>
      <c r="H83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$23.89</v>
      </c>
      <c r="I835" t="str">
        <f>LEFT(Table2[[#This Row],[priceWithCurrency]],3)</f>
        <v xml:space="preserve">US </v>
      </c>
      <c r="J835">
        <v>9</v>
      </c>
      <c r="K835" t="str">
        <f>IF(Table2[[#This Row],[Available]]&lt;=50, "Less Stock", "Required stock" )</f>
        <v>Less Stock</v>
      </c>
      <c r="L835">
        <f t="shared" si="13"/>
        <v>1633.0100000000002</v>
      </c>
      <c r="M835" t="s">
        <v>2513</v>
      </c>
      <c r="N835">
        <v>14</v>
      </c>
      <c r="O835" t="s">
        <v>2514</v>
      </c>
      <c r="P835" t="str">
        <f>RIGHT(RIGHT(Table2[[#This Row],[last Updated]],12),4)</f>
        <v xml:space="preserve"> PDT</v>
      </c>
      <c r="Q835" t="s">
        <v>884</v>
      </c>
    </row>
    <row r="836" spans="1:17" x14ac:dyDescent="0.25">
      <c r="A836" t="s">
        <v>2183</v>
      </c>
      <c r="B836" t="str">
        <f>UPPER(Table2[[#This Row],[Brand]])</f>
        <v>MANCERA</v>
      </c>
      <c r="C836" t="str">
        <f>LOWER(Table2[[#This Row],[Brand]])</f>
        <v>mancera</v>
      </c>
      <c r="D836" t="str">
        <f>PROPER(Table2[[#This Row],[Brand]])</f>
        <v>Mancera</v>
      </c>
      <c r="E836" t="s">
        <v>4</v>
      </c>
      <c r="F836">
        <v>69.97</v>
      </c>
      <c r="G836" t="s">
        <v>2515</v>
      </c>
      <c r="H83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$69.97</v>
      </c>
      <c r="I836" t="str">
        <f>LEFT(Table2[[#This Row],[priceWithCurrency]],3)</f>
        <v xml:space="preserve">US </v>
      </c>
      <c r="J836">
        <v>8</v>
      </c>
      <c r="K836" t="str">
        <f>IF(Table2[[#This Row],[Available]]&lt;=50, "Less Stock", "Required stock" )</f>
        <v>Less Stock</v>
      </c>
      <c r="L836">
        <f t="shared" si="13"/>
        <v>1633.0100000000002</v>
      </c>
      <c r="M836" t="s">
        <v>2516</v>
      </c>
      <c r="N836">
        <v>30</v>
      </c>
      <c r="O836" t="s">
        <v>2517</v>
      </c>
      <c r="P836" t="str">
        <f>RIGHT(RIGHT(Table2[[#This Row],[last Updated]],12),4)</f>
        <v xml:space="preserve"> PDT</v>
      </c>
      <c r="Q836" t="s">
        <v>528</v>
      </c>
    </row>
    <row r="837" spans="1:17" x14ac:dyDescent="0.25">
      <c r="A837" t="s">
        <v>14</v>
      </c>
      <c r="B837" t="str">
        <f>UPPER(Table2[[#This Row],[Brand]])</f>
        <v>UNBRANDED</v>
      </c>
      <c r="C837" t="str">
        <f>LOWER(Table2[[#This Row],[Brand]])</f>
        <v>unbranded</v>
      </c>
      <c r="D837" t="str">
        <f>PROPER(Table2[[#This Row],[Brand]])</f>
        <v>Unbranded</v>
      </c>
      <c r="E837" t="s">
        <v>32</v>
      </c>
      <c r="F837">
        <v>15.99</v>
      </c>
      <c r="G837" t="s">
        <v>67</v>
      </c>
      <c r="H83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$15.99</v>
      </c>
      <c r="I837" t="str">
        <f>LEFT(Table2[[#This Row],[priceWithCurrency]],3)</f>
        <v xml:space="preserve">US </v>
      </c>
      <c r="J837">
        <v>10</v>
      </c>
      <c r="K837" t="str">
        <f>IF(Table2[[#This Row],[Available]]&lt;=50, "Less Stock", "Required stock" )</f>
        <v>Less Stock</v>
      </c>
      <c r="L837">
        <f t="shared" si="13"/>
        <v>65.989999999999995</v>
      </c>
      <c r="M837" t="s">
        <v>1428</v>
      </c>
      <c r="N837">
        <v>45</v>
      </c>
      <c r="O837" t="s">
        <v>2518</v>
      </c>
      <c r="P837" t="str">
        <f>RIGHT(RIGHT(Table2[[#This Row],[last Updated]],12),4)</f>
        <v xml:space="preserve"> PDT</v>
      </c>
      <c r="Q837" t="s">
        <v>36</v>
      </c>
    </row>
    <row r="838" spans="1:17" x14ac:dyDescent="0.25">
      <c r="A838" t="s">
        <v>1235</v>
      </c>
      <c r="B838" t="str">
        <f>UPPER(Table2[[#This Row],[Brand]])</f>
        <v>PRADA</v>
      </c>
      <c r="C838" t="str">
        <f>LOWER(Table2[[#This Row],[Brand]])</f>
        <v>prada</v>
      </c>
      <c r="D838" t="str">
        <f>PROPER(Table2[[#This Row],[Brand]])</f>
        <v>Prada</v>
      </c>
      <c r="E838" t="s">
        <v>15</v>
      </c>
      <c r="F838">
        <v>66.55</v>
      </c>
      <c r="G838" t="s">
        <v>2519</v>
      </c>
      <c r="H83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$66.55</v>
      </c>
      <c r="I838" t="str">
        <f>LEFT(Table2[[#This Row],[priceWithCurrency]],3)</f>
        <v xml:space="preserve">US </v>
      </c>
      <c r="J838">
        <v>3</v>
      </c>
      <c r="K838" t="str">
        <f>IF(Table2[[#This Row],[Available]]&lt;=50, "Less Stock", "Required stock" )</f>
        <v>Less Stock</v>
      </c>
      <c r="L838">
        <f t="shared" si="13"/>
        <v>1206.2200000000003</v>
      </c>
      <c r="M838" t="s">
        <v>1331</v>
      </c>
      <c r="N838">
        <v>7</v>
      </c>
      <c r="O838" t="s">
        <v>2520</v>
      </c>
      <c r="P838" t="str">
        <f>RIGHT(RIGHT(Table2[[#This Row],[last Updated]],12),4)</f>
        <v xml:space="preserve"> PDT</v>
      </c>
      <c r="Q838" t="s">
        <v>30</v>
      </c>
    </row>
    <row r="839" spans="1:17" x14ac:dyDescent="0.25">
      <c r="A839" t="s">
        <v>195</v>
      </c>
      <c r="B839" t="str">
        <f>UPPER(Table2[[#This Row],[Brand]])</f>
        <v>GIVENCHY</v>
      </c>
      <c r="C839" t="str">
        <f>LOWER(Table2[[#This Row],[Brand]])</f>
        <v>givenchy</v>
      </c>
      <c r="D839" t="str">
        <f>PROPER(Table2[[#This Row],[Brand]])</f>
        <v>Givenchy</v>
      </c>
      <c r="E839" t="s">
        <v>26</v>
      </c>
      <c r="F839">
        <v>48.87</v>
      </c>
      <c r="G839" t="s">
        <v>2521</v>
      </c>
      <c r="H83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$48.87</v>
      </c>
      <c r="I839" t="str">
        <f>LEFT(Table2[[#This Row],[priceWithCurrency]],3)</f>
        <v xml:space="preserve">US </v>
      </c>
      <c r="J839">
        <v>3</v>
      </c>
      <c r="K839" t="str">
        <f>IF(Table2[[#This Row],[Available]]&lt;=50, "Less Stock", "Required stock" )</f>
        <v>Less Stock</v>
      </c>
      <c r="L839">
        <f t="shared" si="13"/>
        <v>1206.2200000000003</v>
      </c>
      <c r="M839" t="s">
        <v>1073</v>
      </c>
      <c r="N839">
        <v>8</v>
      </c>
      <c r="O839" t="s">
        <v>2522</v>
      </c>
      <c r="P839" t="str">
        <f>RIGHT(RIGHT(Table2[[#This Row],[last Updated]],12),4)</f>
        <v xml:space="preserve"> PDT</v>
      </c>
      <c r="Q839" t="s">
        <v>30</v>
      </c>
    </row>
    <row r="840" spans="1:17" x14ac:dyDescent="0.25">
      <c r="A840" t="s">
        <v>2523</v>
      </c>
      <c r="B840" t="str">
        <f>UPPER(Table2[[#This Row],[Brand]])</f>
        <v>GIVENCHY</v>
      </c>
      <c r="C840" t="str">
        <f>LOWER(Table2[[#This Row],[Brand]])</f>
        <v>givenchy</v>
      </c>
      <c r="D840" t="str">
        <f>PROPER(Table2[[#This Row],[Brand]])</f>
        <v>Givenchy</v>
      </c>
      <c r="E840" t="s">
        <v>4</v>
      </c>
      <c r="F840">
        <v>72.989999999999995</v>
      </c>
      <c r="G840" t="s">
        <v>1369</v>
      </c>
      <c r="H84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$72.99</v>
      </c>
      <c r="I840" t="str">
        <f>LEFT(Table2[[#This Row],[priceWithCurrency]],3)</f>
        <v xml:space="preserve">US </v>
      </c>
      <c r="J840">
        <v>8</v>
      </c>
      <c r="K840" t="str">
        <f>IF(Table2[[#This Row],[Available]]&lt;=50, "Less Stock", "Required stock" )</f>
        <v>Less Stock</v>
      </c>
      <c r="L840">
        <f t="shared" si="13"/>
        <v>1206.2200000000003</v>
      </c>
      <c r="M840" t="s">
        <v>2524</v>
      </c>
      <c r="N840">
        <v>180</v>
      </c>
      <c r="O840" t="s">
        <v>2525</v>
      </c>
      <c r="P840" t="str">
        <f>RIGHT(RIGHT(Table2[[#This Row],[last Updated]],12),4)</f>
        <v xml:space="preserve"> PDT</v>
      </c>
      <c r="Q840" t="s">
        <v>550</v>
      </c>
    </row>
    <row r="841" spans="1:17" x14ac:dyDescent="0.25">
      <c r="A841" t="s">
        <v>117</v>
      </c>
      <c r="B841" t="str">
        <f>UPPER(Table2[[#This Row],[Brand]])</f>
        <v>AFNAN</v>
      </c>
      <c r="C841" t="str">
        <f>LOWER(Table2[[#This Row],[Brand]])</f>
        <v>afnan</v>
      </c>
      <c r="D841" t="str">
        <f>PROPER(Table2[[#This Row],[Brand]])</f>
        <v>Afnan</v>
      </c>
      <c r="E841" t="s">
        <v>26</v>
      </c>
      <c r="F841">
        <v>31.95</v>
      </c>
      <c r="G841" t="s">
        <v>1472</v>
      </c>
      <c r="H84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$31.95</v>
      </c>
      <c r="I841" t="str">
        <f>LEFT(Table2[[#This Row],[priceWithCurrency]],3)</f>
        <v xml:space="preserve">US </v>
      </c>
      <c r="J841">
        <v>3</v>
      </c>
      <c r="K841" t="str">
        <f>IF(Table2[[#This Row],[Available]]&lt;=50, "Less Stock", "Required stock" )</f>
        <v>Less Stock</v>
      </c>
      <c r="L841">
        <f t="shared" si="13"/>
        <v>1026.23</v>
      </c>
      <c r="M841" t="s">
        <v>588</v>
      </c>
      <c r="N841">
        <v>5</v>
      </c>
      <c r="O841" t="s">
        <v>2526</v>
      </c>
      <c r="P841" t="str">
        <f>RIGHT(RIGHT(Table2[[#This Row],[last Updated]],12),4)</f>
        <v xml:space="preserve"> PDT</v>
      </c>
      <c r="Q841" t="s">
        <v>30</v>
      </c>
    </row>
    <row r="842" spans="1:17" x14ac:dyDescent="0.25">
      <c r="A842" t="s">
        <v>799</v>
      </c>
      <c r="B842" t="str">
        <f>UPPER(Table2[[#This Row],[Brand]])</f>
        <v>CREED</v>
      </c>
      <c r="C842" t="str">
        <f>LOWER(Table2[[#This Row],[Brand]])</f>
        <v>creed</v>
      </c>
      <c r="D842" t="str">
        <f>PROPER(Table2[[#This Row],[Brand]])</f>
        <v>Creed</v>
      </c>
      <c r="E842" t="s">
        <v>4</v>
      </c>
      <c r="F842">
        <v>188.3</v>
      </c>
      <c r="G842" t="s">
        <v>2527</v>
      </c>
      <c r="H84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$188.30</v>
      </c>
      <c r="I842" t="str">
        <f>LEFT(Table2[[#This Row],[priceWithCurrency]],3)</f>
        <v xml:space="preserve">US </v>
      </c>
      <c r="K842" t="str">
        <f>IF(Table2[[#This Row],[Available]]&lt;=50, "Less Stock", "Required stock" )</f>
        <v>Less Stock</v>
      </c>
      <c r="L842">
        <f t="shared" si="13"/>
        <v>50.44</v>
      </c>
      <c r="M842" t="s">
        <v>2528</v>
      </c>
      <c r="N842">
        <v>266</v>
      </c>
      <c r="O842" t="s">
        <v>1183</v>
      </c>
      <c r="P842" t="str">
        <f>RIGHT(RIGHT(Table2[[#This Row],[last Updated]],12),4)</f>
        <v xml:space="preserve"> PDT</v>
      </c>
      <c r="Q842" t="s">
        <v>108</v>
      </c>
    </row>
    <row r="843" spans="1:17" x14ac:dyDescent="0.25">
      <c r="A843" t="s">
        <v>61</v>
      </c>
      <c r="B843" t="str">
        <f>UPPER(Table2[[#This Row],[Brand]])</f>
        <v>DOLCE&amp;GABBANA</v>
      </c>
      <c r="C843" t="str">
        <f>LOWER(Table2[[#This Row],[Brand]])</f>
        <v>dolce&amp;gabbana</v>
      </c>
      <c r="D843" t="str">
        <f>PROPER(Table2[[#This Row],[Brand]])</f>
        <v>Dolce&amp;Gabbana</v>
      </c>
      <c r="E843" t="s">
        <v>4</v>
      </c>
      <c r="F843">
        <v>55.45</v>
      </c>
      <c r="G843" t="s">
        <v>2529</v>
      </c>
      <c r="H84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$55.45</v>
      </c>
      <c r="I843" t="str">
        <f>LEFT(Table2[[#This Row],[priceWithCurrency]],3)</f>
        <v xml:space="preserve">US </v>
      </c>
      <c r="J843">
        <v>3</v>
      </c>
      <c r="K843" t="str">
        <f>IF(Table2[[#This Row],[Available]]&lt;=50, "Less Stock", "Required stock" )</f>
        <v>Less Stock</v>
      </c>
      <c r="L843">
        <f t="shared" si="13"/>
        <v>926.24000000000024</v>
      </c>
      <c r="M843" t="s">
        <v>837</v>
      </c>
      <c r="N843">
        <v>11</v>
      </c>
      <c r="O843" t="s">
        <v>2530</v>
      </c>
      <c r="P843" t="str">
        <f>RIGHT(RIGHT(Table2[[#This Row],[last Updated]],12),4)</f>
        <v xml:space="preserve"> PDT</v>
      </c>
      <c r="Q843" t="s">
        <v>30</v>
      </c>
    </row>
    <row r="844" spans="1:17" x14ac:dyDescent="0.25">
      <c r="A844" t="s">
        <v>227</v>
      </c>
      <c r="B844" t="str">
        <f>UPPER(Table2[[#This Row],[Brand]])</f>
        <v>NAUTICA</v>
      </c>
      <c r="C844" t="str">
        <f>LOWER(Table2[[#This Row],[Brand]])</f>
        <v>nautica</v>
      </c>
      <c r="D844" t="str">
        <f>PROPER(Table2[[#This Row],[Brand]])</f>
        <v>Nautica</v>
      </c>
      <c r="E844" t="s">
        <v>15</v>
      </c>
      <c r="F844">
        <v>18.329999999999998</v>
      </c>
      <c r="G844" t="s">
        <v>2531</v>
      </c>
      <c r="H84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$18.33</v>
      </c>
      <c r="I844" t="str">
        <f>LEFT(Table2[[#This Row],[priceWithCurrency]],3)</f>
        <v xml:space="preserve">US </v>
      </c>
      <c r="J844">
        <v>10</v>
      </c>
      <c r="K844" t="str">
        <f>IF(Table2[[#This Row],[Available]]&lt;=50, "Less Stock", "Required stock" )</f>
        <v>Less Stock</v>
      </c>
      <c r="L844">
        <f t="shared" si="13"/>
        <v>36.99</v>
      </c>
      <c r="M844" t="s">
        <v>2532</v>
      </c>
      <c r="N844">
        <v>1332</v>
      </c>
      <c r="O844" t="s">
        <v>2533</v>
      </c>
      <c r="P844" t="str">
        <f>RIGHT(RIGHT(Table2[[#This Row],[last Updated]],12),4)</f>
        <v xml:space="preserve"> PDT</v>
      </c>
      <c r="Q844" t="s">
        <v>108</v>
      </c>
    </row>
    <row r="845" spans="1:17" x14ac:dyDescent="0.25">
      <c r="A845" t="s">
        <v>20</v>
      </c>
      <c r="B845" t="str">
        <f>UPPER(Table2[[#This Row],[Brand]])</f>
        <v>GIORGIO ARMANI</v>
      </c>
      <c r="C845" t="str">
        <f>LOWER(Table2[[#This Row],[Brand]])</f>
        <v>giorgio armani</v>
      </c>
      <c r="D845" t="str">
        <f>PROPER(Table2[[#This Row],[Brand]])</f>
        <v>Giorgio Armani</v>
      </c>
      <c r="E845" t="s">
        <v>127</v>
      </c>
      <c r="F845">
        <v>123.99</v>
      </c>
      <c r="G845" t="s">
        <v>2534</v>
      </c>
      <c r="H84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$123.99</v>
      </c>
      <c r="I845" t="str">
        <f>LEFT(Table2[[#This Row],[priceWithCurrency]],3)</f>
        <v xml:space="preserve">US </v>
      </c>
      <c r="J845">
        <v>19</v>
      </c>
      <c r="K845" t="str">
        <f>IF(Table2[[#This Row],[Available]]&lt;=50, "Less Stock", "Required stock" )</f>
        <v>Less Stock</v>
      </c>
      <c r="L845">
        <f t="shared" si="13"/>
        <v>856.25000000000011</v>
      </c>
      <c r="M845" t="s">
        <v>2535</v>
      </c>
      <c r="N845">
        <v>5</v>
      </c>
      <c r="O845" t="s">
        <v>2536</v>
      </c>
      <c r="P845" t="str">
        <f>RIGHT(RIGHT(Table2[[#This Row],[last Updated]],12),4)</f>
        <v xml:space="preserve"> PDT</v>
      </c>
      <c r="Q845" t="s">
        <v>89</v>
      </c>
    </row>
    <row r="846" spans="1:17" x14ac:dyDescent="0.25">
      <c r="A846" t="s">
        <v>2523</v>
      </c>
      <c r="B846" t="str">
        <f>UPPER(Table2[[#This Row],[Brand]])</f>
        <v>GIVENCHY</v>
      </c>
      <c r="C846" t="str">
        <f>LOWER(Table2[[#This Row],[Brand]])</f>
        <v>givenchy</v>
      </c>
      <c r="D846" t="str">
        <f>PROPER(Table2[[#This Row],[Brand]])</f>
        <v>Givenchy</v>
      </c>
      <c r="E846" t="s">
        <v>4</v>
      </c>
      <c r="F846">
        <v>70</v>
      </c>
      <c r="G846" t="s">
        <v>2537</v>
      </c>
      <c r="H84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$70.00</v>
      </c>
      <c r="I846" t="str">
        <f>LEFT(Table2[[#This Row],[priceWithCurrency]],3)</f>
        <v xml:space="preserve">US </v>
      </c>
      <c r="K846" t="str">
        <f>IF(Table2[[#This Row],[Available]]&lt;=50, "Less Stock", "Required stock" )</f>
        <v>Less Stock</v>
      </c>
      <c r="L846">
        <f t="shared" si="13"/>
        <v>856.25000000000011</v>
      </c>
      <c r="M846" t="s">
        <v>1615</v>
      </c>
      <c r="N846">
        <v>2</v>
      </c>
      <c r="O846" t="s">
        <v>2538</v>
      </c>
      <c r="P846" t="str">
        <f>RIGHT(RIGHT(Table2[[#This Row],[last Updated]],12),4)</f>
        <v xml:space="preserve"> PDT</v>
      </c>
      <c r="Q846" t="s">
        <v>1616</v>
      </c>
    </row>
    <row r="847" spans="1:17" x14ac:dyDescent="0.25">
      <c r="A847" t="s">
        <v>2282</v>
      </c>
      <c r="B847" t="str">
        <f>UPPER(Table2[[#This Row],[Brand]])</f>
        <v>ASSORTED</v>
      </c>
      <c r="C847" t="str">
        <f>LOWER(Table2[[#This Row],[Brand]])</f>
        <v>assorted</v>
      </c>
      <c r="D847" t="str">
        <f>PROPER(Table2[[#This Row],[Brand]])</f>
        <v>Assorted</v>
      </c>
      <c r="E847" t="s">
        <v>2539</v>
      </c>
      <c r="F847">
        <v>3.5</v>
      </c>
      <c r="G847" t="s">
        <v>2540</v>
      </c>
      <c r="H84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$3.50</v>
      </c>
      <c r="I847" t="str">
        <f>LEFT(Table2[[#This Row],[priceWithCurrency]],3)</f>
        <v xml:space="preserve">US </v>
      </c>
      <c r="J847">
        <v>4</v>
      </c>
      <c r="K847" t="str">
        <f>IF(Table2[[#This Row],[Available]]&lt;=50, "Less Stock", "Required stock" )</f>
        <v>Less Stock</v>
      </c>
      <c r="L847">
        <f t="shared" si="13"/>
        <v>229.85000000000002</v>
      </c>
      <c r="M847" t="s">
        <v>2541</v>
      </c>
      <c r="N847">
        <v>3009</v>
      </c>
      <c r="O847" t="s">
        <v>2542</v>
      </c>
      <c r="P847" t="str">
        <f>RIGHT(RIGHT(Table2[[#This Row],[last Updated]],12),4)</f>
        <v xml:space="preserve"> PDT</v>
      </c>
      <c r="Q847" t="s">
        <v>793</v>
      </c>
    </row>
    <row r="848" spans="1:17" x14ac:dyDescent="0.25">
      <c r="A848" t="s">
        <v>14</v>
      </c>
      <c r="B848" t="str">
        <f>UPPER(Table2[[#This Row],[Brand]])</f>
        <v>UNBRANDED</v>
      </c>
      <c r="C848" t="str">
        <f>LOWER(Table2[[#This Row],[Brand]])</f>
        <v>unbranded</v>
      </c>
      <c r="D848" t="str">
        <f>PROPER(Table2[[#This Row],[Brand]])</f>
        <v>Unbranded</v>
      </c>
      <c r="E848" t="s">
        <v>914</v>
      </c>
      <c r="F848">
        <v>10.99</v>
      </c>
      <c r="G848" t="s">
        <v>1410</v>
      </c>
      <c r="H84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$10.99</v>
      </c>
      <c r="I848" t="str">
        <f>LEFT(Table2[[#This Row],[priceWithCurrency]],3)</f>
        <v xml:space="preserve">US </v>
      </c>
      <c r="J848">
        <v>10</v>
      </c>
      <c r="K848" t="str">
        <f>IF(Table2[[#This Row],[Available]]&lt;=50, "Less Stock", "Required stock" )</f>
        <v>Less Stock</v>
      </c>
      <c r="L848">
        <f t="shared" si="13"/>
        <v>1681.4700000000003</v>
      </c>
      <c r="M848" t="s">
        <v>975</v>
      </c>
      <c r="N848">
        <v>38</v>
      </c>
      <c r="O848" t="s">
        <v>2543</v>
      </c>
      <c r="P848" t="str">
        <f>RIGHT(RIGHT(Table2[[#This Row],[last Updated]],12),4)</f>
        <v xml:space="preserve"> PDT</v>
      </c>
      <c r="Q848" t="s">
        <v>503</v>
      </c>
    </row>
    <row r="849" spans="1:17" x14ac:dyDescent="0.25">
      <c r="A849" t="s">
        <v>927</v>
      </c>
      <c r="B849" t="str">
        <f>UPPER(Table2[[#This Row],[Brand]])</f>
        <v>AXE</v>
      </c>
      <c r="C849" t="str">
        <f>LOWER(Table2[[#This Row],[Brand]])</f>
        <v>axe</v>
      </c>
      <c r="D849" t="str">
        <f>PROPER(Table2[[#This Row],[Brand]])</f>
        <v>Axe</v>
      </c>
      <c r="E849" t="s">
        <v>2544</v>
      </c>
      <c r="F849">
        <v>42.99</v>
      </c>
      <c r="G849" t="s">
        <v>2545</v>
      </c>
      <c r="H84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$42.99</v>
      </c>
      <c r="I849" t="str">
        <f>LEFT(Table2[[#This Row],[priceWithCurrency]],3)</f>
        <v xml:space="preserve">US </v>
      </c>
      <c r="J849">
        <v>4</v>
      </c>
      <c r="K849" t="str">
        <f>IF(Table2[[#This Row],[Available]]&lt;=50, "Less Stock", "Required stock" )</f>
        <v>Less Stock</v>
      </c>
      <c r="L849">
        <f t="shared" si="13"/>
        <v>901.24000000000012</v>
      </c>
      <c r="M849" t="s">
        <v>2546</v>
      </c>
      <c r="N849">
        <v>26</v>
      </c>
      <c r="P849" t="str">
        <f>RIGHT(RIGHT(Table2[[#This Row],[last Updated]],12),4)</f>
        <v/>
      </c>
      <c r="Q849" t="s">
        <v>2547</v>
      </c>
    </row>
    <row r="850" spans="1:17" x14ac:dyDescent="0.25">
      <c r="A850" t="s">
        <v>1329</v>
      </c>
      <c r="B850" t="str">
        <f>UPPER(Table2[[#This Row],[Brand]])</f>
        <v>EMPORIO ARMANI</v>
      </c>
      <c r="C850" t="str">
        <f>LOWER(Table2[[#This Row],[Brand]])</f>
        <v>emporio armani</v>
      </c>
      <c r="D850" t="str">
        <f>PROPER(Table2[[#This Row],[Brand]])</f>
        <v>Emporio Armani</v>
      </c>
      <c r="E850" t="s">
        <v>15</v>
      </c>
      <c r="F850">
        <v>71.900000000000006</v>
      </c>
      <c r="G850" t="s">
        <v>2548</v>
      </c>
      <c r="H85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$71.90</v>
      </c>
      <c r="I850" t="str">
        <f>LEFT(Table2[[#This Row],[priceWithCurrency]],3)</f>
        <v xml:space="preserve">US </v>
      </c>
      <c r="J850">
        <v>10</v>
      </c>
      <c r="K850" t="str">
        <f>IF(Table2[[#This Row],[Available]]&lt;=50, "Less Stock", "Required stock" )</f>
        <v>Less Stock</v>
      </c>
      <c r="L850">
        <f t="shared" si="13"/>
        <v>901.24000000000012</v>
      </c>
      <c r="M850" t="s">
        <v>2549</v>
      </c>
      <c r="N850">
        <v>244</v>
      </c>
      <c r="O850" t="s">
        <v>2550</v>
      </c>
      <c r="P850" t="str">
        <f>RIGHT(RIGHT(Table2[[#This Row],[last Updated]],12),4)</f>
        <v xml:space="preserve"> PDT</v>
      </c>
      <c r="Q850" t="s">
        <v>131</v>
      </c>
    </row>
    <row r="851" spans="1:17" x14ac:dyDescent="0.25">
      <c r="A851" t="s">
        <v>593</v>
      </c>
      <c r="B851" t="str">
        <f>UPPER(Table2[[#This Row],[Brand]])</f>
        <v>SALVATORE FERRAGAMO</v>
      </c>
      <c r="C851" t="str">
        <f>LOWER(Table2[[#This Row],[Brand]])</f>
        <v>salvatore ferragamo</v>
      </c>
      <c r="D851" t="str">
        <f>PROPER(Table2[[#This Row],[Brand]])</f>
        <v>Salvatore Ferragamo</v>
      </c>
      <c r="E851" t="s">
        <v>15</v>
      </c>
      <c r="F851">
        <v>32.89</v>
      </c>
      <c r="G851" t="s">
        <v>751</v>
      </c>
      <c r="H85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$32.89</v>
      </c>
      <c r="I851" t="str">
        <f>LEFT(Table2[[#This Row],[priceWithCurrency]],3)</f>
        <v xml:space="preserve">US </v>
      </c>
      <c r="J851">
        <v>3</v>
      </c>
      <c r="K851" t="str">
        <f>IF(Table2[[#This Row],[Available]]&lt;=50, "Less Stock", "Required stock" )</f>
        <v>Less Stock</v>
      </c>
      <c r="L851">
        <f t="shared" si="13"/>
        <v>1684.8</v>
      </c>
      <c r="M851" t="s">
        <v>588</v>
      </c>
      <c r="N851">
        <v>5</v>
      </c>
      <c r="O851" t="s">
        <v>2551</v>
      </c>
      <c r="P851" t="str">
        <f>RIGHT(RIGHT(Table2[[#This Row],[last Updated]],12),4)</f>
        <v xml:space="preserve"> PDT</v>
      </c>
      <c r="Q851" t="s">
        <v>30</v>
      </c>
    </row>
    <row r="852" spans="1:17" x14ac:dyDescent="0.25">
      <c r="A852" t="s">
        <v>71</v>
      </c>
      <c r="B852" t="str">
        <f>UPPER(Table2[[#This Row],[Brand]])</f>
        <v>AS SHOW</v>
      </c>
      <c r="C852" t="str">
        <f>LOWER(Table2[[#This Row],[Brand]])</f>
        <v>as show</v>
      </c>
      <c r="D852" t="str">
        <f>PROPER(Table2[[#This Row],[Brand]])</f>
        <v>As Show</v>
      </c>
      <c r="E852" t="s">
        <v>15</v>
      </c>
      <c r="F852">
        <v>38.99</v>
      </c>
      <c r="G852" t="s">
        <v>763</v>
      </c>
      <c r="H85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$38.99</v>
      </c>
      <c r="I852" t="str">
        <f>LEFT(Table2[[#This Row],[priceWithCurrency]],3)</f>
        <v xml:space="preserve">US </v>
      </c>
      <c r="J852">
        <v>9</v>
      </c>
      <c r="K852" t="str">
        <f>IF(Table2[[#This Row],[Available]]&lt;=50, "Less Stock", "Required stock" )</f>
        <v>Less Stock</v>
      </c>
      <c r="L852">
        <f t="shared" si="13"/>
        <v>1645.55</v>
      </c>
      <c r="M852" t="s">
        <v>910</v>
      </c>
      <c r="N852">
        <v>37</v>
      </c>
      <c r="O852" t="s">
        <v>1277</v>
      </c>
      <c r="P852" t="str">
        <f>RIGHT(RIGHT(Table2[[#This Row],[last Updated]],12),4)</f>
        <v xml:space="preserve"> PDT</v>
      </c>
      <c r="Q852" t="s">
        <v>542</v>
      </c>
    </row>
    <row r="853" spans="1:17" x14ac:dyDescent="0.25">
      <c r="A853" t="s">
        <v>1306</v>
      </c>
      <c r="B853" t="str">
        <f>UPPER(Table2[[#This Row],[Brand]])</f>
        <v>DOES NOT APPLY</v>
      </c>
      <c r="C853" t="str">
        <f>LOWER(Table2[[#This Row],[Brand]])</f>
        <v>does not apply</v>
      </c>
      <c r="D853" t="str">
        <f>PROPER(Table2[[#This Row],[Brand]])</f>
        <v>Does Not Apply</v>
      </c>
      <c r="E853" t="s">
        <v>1306</v>
      </c>
      <c r="F853">
        <v>16.34</v>
      </c>
      <c r="G853" t="s">
        <v>2552</v>
      </c>
      <c r="H85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$16.34</v>
      </c>
      <c r="I853" t="str">
        <f>LEFT(Table2[[#This Row],[priceWithCurrency]],3)</f>
        <v xml:space="preserve">US </v>
      </c>
      <c r="J853">
        <v>5</v>
      </c>
      <c r="K853" t="str">
        <f>IF(Table2[[#This Row],[Available]]&lt;=50, "Less Stock", "Required stock" )</f>
        <v>Less Stock</v>
      </c>
      <c r="L853">
        <f t="shared" si="13"/>
        <v>1122.45</v>
      </c>
      <c r="M853" t="s">
        <v>2553</v>
      </c>
      <c r="N853">
        <v>103</v>
      </c>
      <c r="O853" t="s">
        <v>2554</v>
      </c>
      <c r="P853" t="str">
        <f>RIGHT(RIGHT(Table2[[#This Row],[last Updated]],12),4)</f>
        <v xml:space="preserve"> PDT</v>
      </c>
      <c r="Q853" t="s">
        <v>2555</v>
      </c>
    </row>
    <row r="854" spans="1:17" x14ac:dyDescent="0.25">
      <c r="A854" t="s">
        <v>675</v>
      </c>
      <c r="B854" t="str">
        <f>UPPER(Table2[[#This Row],[Brand]])</f>
        <v>ISSEY MIYAKE</v>
      </c>
      <c r="C854" t="str">
        <f>LOWER(Table2[[#This Row],[Brand]])</f>
        <v>issey miyake</v>
      </c>
      <c r="D854" t="str">
        <f>PROPER(Table2[[#This Row],[Brand]])</f>
        <v>Issey Miyake</v>
      </c>
      <c r="E854" t="s">
        <v>15</v>
      </c>
      <c r="F854">
        <v>44.61</v>
      </c>
      <c r="G854" t="s">
        <v>2556</v>
      </c>
      <c r="H85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$44.61</v>
      </c>
      <c r="I854" t="str">
        <f>LEFT(Table2[[#This Row],[priceWithCurrency]],3)</f>
        <v xml:space="preserve">US </v>
      </c>
      <c r="J854">
        <v>54</v>
      </c>
      <c r="K854" t="str">
        <f>IF(Table2[[#This Row],[Available]]&lt;=50, "Less Stock", "Required stock" )</f>
        <v>Required stock</v>
      </c>
      <c r="L854">
        <f t="shared" si="13"/>
        <v>1678.57</v>
      </c>
      <c r="M854" t="s">
        <v>2557</v>
      </c>
      <c r="N854">
        <v>27</v>
      </c>
      <c r="O854" t="s">
        <v>2558</v>
      </c>
      <c r="P854" t="str">
        <f>RIGHT(RIGHT(Table2[[#This Row],[last Updated]],12),4)</f>
        <v xml:space="preserve"> PDT</v>
      </c>
      <c r="Q854" t="s">
        <v>121</v>
      </c>
    </row>
    <row r="855" spans="1:17" x14ac:dyDescent="0.25">
      <c r="A855" t="s">
        <v>249</v>
      </c>
      <c r="B855" t="str">
        <f>UPPER(Table2[[#This Row],[Brand]])</f>
        <v>KENNETH COLE</v>
      </c>
      <c r="C855" t="str">
        <f>LOWER(Table2[[#This Row],[Brand]])</f>
        <v>kenneth cole</v>
      </c>
      <c r="D855" t="str">
        <f>PROPER(Table2[[#This Row],[Brand]])</f>
        <v>Kenneth Cole</v>
      </c>
      <c r="E855" t="s">
        <v>15</v>
      </c>
      <c r="F855">
        <v>18.66</v>
      </c>
      <c r="G855" t="s">
        <v>2559</v>
      </c>
      <c r="H85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$18.66</v>
      </c>
      <c r="I855" t="str">
        <f>LEFT(Table2[[#This Row],[priceWithCurrency]],3)</f>
        <v xml:space="preserve">US </v>
      </c>
      <c r="J855">
        <v>26</v>
      </c>
      <c r="K855" t="str">
        <f>IF(Table2[[#This Row],[Available]]&lt;=50, "Less Stock", "Required stock" )</f>
        <v>Less Stock</v>
      </c>
      <c r="L855">
        <f t="shared" si="13"/>
        <v>1643.5800000000002</v>
      </c>
      <c r="M855" t="s">
        <v>2560</v>
      </c>
      <c r="N855">
        <v>58</v>
      </c>
      <c r="O855" t="s">
        <v>2561</v>
      </c>
      <c r="P855" t="str">
        <f>RIGHT(RIGHT(Table2[[#This Row],[last Updated]],12),4)</f>
        <v xml:space="preserve"> PDT</v>
      </c>
      <c r="Q855" t="s">
        <v>121</v>
      </c>
    </row>
    <row r="856" spans="1:17" x14ac:dyDescent="0.25">
      <c r="A856" t="s">
        <v>476</v>
      </c>
      <c r="B856" t="str">
        <f>UPPER(Table2[[#This Row],[Brand]])</f>
        <v>HERMÈS</v>
      </c>
      <c r="C856" t="str">
        <f>LOWER(Table2[[#This Row],[Brand]])</f>
        <v>hermès</v>
      </c>
      <c r="D856" t="str">
        <f>PROPER(Table2[[#This Row],[Brand]])</f>
        <v>Hermès</v>
      </c>
      <c r="E856" t="s">
        <v>374</v>
      </c>
      <c r="F856">
        <v>62.62</v>
      </c>
      <c r="G856" t="s">
        <v>2562</v>
      </c>
      <c r="H85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$62.62</v>
      </c>
      <c r="I856" t="str">
        <f>LEFT(Table2[[#This Row],[priceWithCurrency]],3)</f>
        <v xml:space="preserve">US </v>
      </c>
      <c r="J856">
        <v>3</v>
      </c>
      <c r="K856" t="str">
        <f>IF(Table2[[#This Row],[Available]]&lt;=50, "Less Stock", "Required stock" )</f>
        <v>Less Stock</v>
      </c>
      <c r="L856">
        <f t="shared" si="13"/>
        <v>1574.86</v>
      </c>
      <c r="M856" t="s">
        <v>2563</v>
      </c>
      <c r="N856">
        <v>335</v>
      </c>
      <c r="O856" t="s">
        <v>2564</v>
      </c>
      <c r="P856" t="str">
        <f>RIGHT(RIGHT(Table2[[#This Row],[last Updated]],12),4)</f>
        <v xml:space="preserve"> PDT</v>
      </c>
      <c r="Q856" t="s">
        <v>108</v>
      </c>
    </row>
    <row r="857" spans="1:17" x14ac:dyDescent="0.25">
      <c r="A857" t="s">
        <v>2565</v>
      </c>
      <c r="B857" t="str">
        <f>UPPER(Table2[[#This Row],[Brand]])</f>
        <v>TIFFANY</v>
      </c>
      <c r="C857" t="str">
        <f>LOWER(Table2[[#This Row],[Brand]])</f>
        <v>tiffany</v>
      </c>
      <c r="D857" t="str">
        <f>PROPER(Table2[[#This Row],[Brand]])</f>
        <v>Tiffany</v>
      </c>
      <c r="E857" t="s">
        <v>15</v>
      </c>
      <c r="F857">
        <v>49.99</v>
      </c>
      <c r="G857" t="s">
        <v>114</v>
      </c>
      <c r="H85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$49.99</v>
      </c>
      <c r="I857" t="str">
        <f>LEFT(Table2[[#This Row],[priceWithCurrency]],3)</f>
        <v xml:space="preserve">US </v>
      </c>
      <c r="J857">
        <v>3</v>
      </c>
      <c r="K857" t="str">
        <f>IF(Table2[[#This Row],[Available]]&lt;=50, "Less Stock", "Required stock" )</f>
        <v>Less Stock</v>
      </c>
      <c r="L857">
        <f t="shared" si="13"/>
        <v>1122.45</v>
      </c>
      <c r="M857" t="s">
        <v>1660</v>
      </c>
      <c r="N857">
        <v>19</v>
      </c>
      <c r="O857" t="s">
        <v>2566</v>
      </c>
      <c r="P857" t="str">
        <f>RIGHT(RIGHT(Table2[[#This Row],[last Updated]],12),4)</f>
        <v xml:space="preserve"> PDT</v>
      </c>
      <c r="Q857" t="s">
        <v>1150</v>
      </c>
    </row>
    <row r="858" spans="1:17" x14ac:dyDescent="0.25">
      <c r="A858" t="s">
        <v>270</v>
      </c>
      <c r="B858" t="str">
        <f>UPPER(Table2[[#This Row],[Brand]])</f>
        <v>YVES SAINT LAURENT</v>
      </c>
      <c r="C858" t="str">
        <f>LOWER(Table2[[#This Row],[Brand]])</f>
        <v>yves saint laurent</v>
      </c>
      <c r="D858" t="str">
        <f>PROPER(Table2[[#This Row],[Brand]])</f>
        <v>Yves Saint Laurent</v>
      </c>
      <c r="E858" t="s">
        <v>15</v>
      </c>
      <c r="F858">
        <v>178.99</v>
      </c>
      <c r="G858" t="s">
        <v>2567</v>
      </c>
      <c r="H85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$178.99</v>
      </c>
      <c r="I858" t="str">
        <f>LEFT(Table2[[#This Row],[priceWithCurrency]],3)</f>
        <v xml:space="preserve">US </v>
      </c>
      <c r="K858" t="str">
        <f>IF(Table2[[#This Row],[Available]]&lt;=50, "Less Stock", "Required stock" )</f>
        <v>Less Stock</v>
      </c>
      <c r="L858">
        <f t="shared" si="13"/>
        <v>1409.84</v>
      </c>
      <c r="M858" t="s">
        <v>2568</v>
      </c>
      <c r="N858">
        <v>77</v>
      </c>
      <c r="O858" t="s">
        <v>2569</v>
      </c>
      <c r="P858" t="str">
        <f>RIGHT(RIGHT(Table2[[#This Row],[last Updated]],12),4)</f>
        <v xml:space="preserve"> PDT</v>
      </c>
      <c r="Q858" t="s">
        <v>497</v>
      </c>
    </row>
    <row r="859" spans="1:17" x14ac:dyDescent="0.25">
      <c r="A859" t="s">
        <v>2570</v>
      </c>
      <c r="B859" t="str">
        <f>UPPER(Table2[[#This Row],[Brand]])</f>
        <v>EMPER</v>
      </c>
      <c r="C859" t="str">
        <f>LOWER(Table2[[#This Row],[Brand]])</f>
        <v>emper</v>
      </c>
      <c r="D859" t="str">
        <f>PROPER(Table2[[#This Row],[Brand]])</f>
        <v>Emper</v>
      </c>
      <c r="E859" t="s">
        <v>4</v>
      </c>
      <c r="F859">
        <v>29.95</v>
      </c>
      <c r="G859" t="s">
        <v>2571</v>
      </c>
      <c r="H85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$29.95</v>
      </c>
      <c r="I859" t="str">
        <f>LEFT(Table2[[#This Row],[priceWithCurrency]],3)</f>
        <v xml:space="preserve">US </v>
      </c>
      <c r="J859">
        <v>4</v>
      </c>
      <c r="K859" t="str">
        <f>IF(Table2[[#This Row],[Available]]&lt;=50, "Less Stock", "Required stock" )</f>
        <v>Less Stock</v>
      </c>
      <c r="L859">
        <f t="shared" si="13"/>
        <v>1392.89</v>
      </c>
      <c r="M859" t="s">
        <v>1998</v>
      </c>
      <c r="N859">
        <v>2</v>
      </c>
      <c r="P859" t="str">
        <f>RIGHT(RIGHT(Table2[[#This Row],[last Updated]],12),4)</f>
        <v/>
      </c>
      <c r="Q859" t="s">
        <v>121</v>
      </c>
    </row>
    <row r="860" spans="1:17" x14ac:dyDescent="0.25">
      <c r="A860" t="s">
        <v>270</v>
      </c>
      <c r="B860" t="str">
        <f>UPPER(Table2[[#This Row],[Brand]])</f>
        <v>YVES SAINT LAURENT</v>
      </c>
      <c r="C860" t="str">
        <f>LOWER(Table2[[#This Row],[Brand]])</f>
        <v>yves saint laurent</v>
      </c>
      <c r="D860" t="str">
        <f>PROPER(Table2[[#This Row],[Brand]])</f>
        <v>Yves Saint Laurent</v>
      </c>
      <c r="E860" t="s">
        <v>4</v>
      </c>
      <c r="F860">
        <v>58.99</v>
      </c>
      <c r="G860" t="s">
        <v>2572</v>
      </c>
      <c r="H86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$58.99</v>
      </c>
      <c r="I860" t="str">
        <f>LEFT(Table2[[#This Row],[priceWithCurrency]],3)</f>
        <v xml:space="preserve">US </v>
      </c>
      <c r="J860">
        <v>8</v>
      </c>
      <c r="K860" t="str">
        <f>IF(Table2[[#This Row],[Available]]&lt;=50, "Less Stock", "Required stock" )</f>
        <v>Less Stock</v>
      </c>
      <c r="L860">
        <f t="shared" si="13"/>
        <v>1127.8200000000002</v>
      </c>
      <c r="M860" t="s">
        <v>2573</v>
      </c>
      <c r="N860">
        <v>22</v>
      </c>
      <c r="O860" t="s">
        <v>2574</v>
      </c>
      <c r="P860" t="str">
        <f>RIGHT(RIGHT(Table2[[#This Row],[last Updated]],12),4)</f>
        <v xml:space="preserve"> PDT</v>
      </c>
      <c r="Q860" t="s">
        <v>738</v>
      </c>
    </row>
    <row r="861" spans="1:17" x14ac:dyDescent="0.25">
      <c r="A861" t="s">
        <v>1586</v>
      </c>
      <c r="B861" t="str">
        <f>UPPER(Table2[[#This Row],[Brand]])</f>
        <v>ED HARDY</v>
      </c>
      <c r="C861" t="str">
        <f>LOWER(Table2[[#This Row],[Brand]])</f>
        <v>ed hardy</v>
      </c>
      <c r="D861" t="str">
        <f>PROPER(Table2[[#This Row],[Brand]])</f>
        <v>Ed Hardy</v>
      </c>
      <c r="E861" t="s">
        <v>15</v>
      </c>
      <c r="F861">
        <v>40.950000000000003</v>
      </c>
      <c r="G861" t="s">
        <v>2575</v>
      </c>
      <c r="H86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$40.95</v>
      </c>
      <c r="I861" t="str">
        <f>LEFT(Table2[[#This Row],[priceWithCurrency]],3)</f>
        <v xml:space="preserve">US </v>
      </c>
      <c r="J861">
        <v>3</v>
      </c>
      <c r="K861" t="str">
        <f>IF(Table2[[#This Row],[Available]]&lt;=50, "Less Stock", "Required stock" )</f>
        <v>Less Stock</v>
      </c>
      <c r="L861">
        <f t="shared" si="13"/>
        <v>1392.89</v>
      </c>
      <c r="M861" t="s">
        <v>958</v>
      </c>
      <c r="N861">
        <v>14</v>
      </c>
      <c r="O861" t="s">
        <v>2576</v>
      </c>
      <c r="P861" t="str">
        <f>RIGHT(RIGHT(Table2[[#This Row],[last Updated]],12),4)</f>
        <v xml:space="preserve"> PDT</v>
      </c>
      <c r="Q861" t="s">
        <v>2577</v>
      </c>
    </row>
    <row r="862" spans="1:17" x14ac:dyDescent="0.25">
      <c r="A862" t="s">
        <v>1353</v>
      </c>
      <c r="B862" t="str">
        <f>UPPER(Table2[[#This Row],[Brand]])</f>
        <v>MAISON FRANCIS KURKDJIAN</v>
      </c>
      <c r="C862" t="str">
        <f>LOWER(Table2[[#This Row],[Brand]])</f>
        <v>maison francis kurkdjian</v>
      </c>
      <c r="D862" t="str">
        <f>PROPER(Table2[[#This Row],[Brand]])</f>
        <v>Maison Francis Kurkdjian</v>
      </c>
      <c r="E862" t="s">
        <v>1306</v>
      </c>
      <c r="F862">
        <v>159.99</v>
      </c>
      <c r="G862" t="s">
        <v>578</v>
      </c>
      <c r="H86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$159.99</v>
      </c>
      <c r="I862" t="str">
        <f>LEFT(Table2[[#This Row],[priceWithCurrency]],3)</f>
        <v xml:space="preserve">US </v>
      </c>
      <c r="J862">
        <v>4</v>
      </c>
      <c r="K862" t="str">
        <f>IF(Table2[[#This Row],[Available]]&lt;=50, "Less Stock", "Required stock" )</f>
        <v>Less Stock</v>
      </c>
      <c r="L862">
        <f t="shared" si="13"/>
        <v>12</v>
      </c>
      <c r="M862" t="s">
        <v>1998</v>
      </c>
      <c r="N862">
        <v>2</v>
      </c>
      <c r="O862" t="s">
        <v>2578</v>
      </c>
      <c r="P862" t="str">
        <f>RIGHT(RIGHT(Table2[[#This Row],[last Updated]],12),4)</f>
        <v xml:space="preserve"> PDT</v>
      </c>
      <c r="Q862" t="s">
        <v>2579</v>
      </c>
    </row>
    <row r="863" spans="1:17" x14ac:dyDescent="0.25">
      <c r="A863" t="s">
        <v>51</v>
      </c>
      <c r="B863" t="str">
        <f>UPPER(Table2[[#This Row],[Brand]])</f>
        <v>GUCCI</v>
      </c>
      <c r="C863" t="str">
        <f>LOWER(Table2[[#This Row],[Brand]])</f>
        <v>gucci</v>
      </c>
      <c r="D863" t="str">
        <f>PROPER(Table2[[#This Row],[Brand]])</f>
        <v>Gucci</v>
      </c>
      <c r="E863" t="s">
        <v>15</v>
      </c>
      <c r="F863">
        <v>71.98</v>
      </c>
      <c r="G863" t="s">
        <v>2580</v>
      </c>
      <c r="H86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$71.98</v>
      </c>
      <c r="I863" t="str">
        <f>LEFT(Table2[[#This Row],[priceWithCurrency]],3)</f>
        <v xml:space="preserve">US </v>
      </c>
      <c r="K863" t="str">
        <f>IF(Table2[[#This Row],[Available]]&lt;=50, "Less Stock", "Required stock" )</f>
        <v>Less Stock</v>
      </c>
      <c r="L863">
        <f t="shared" si="13"/>
        <v>1194.4599999999998</v>
      </c>
      <c r="M863" t="s">
        <v>2581</v>
      </c>
      <c r="N863">
        <v>100</v>
      </c>
      <c r="O863" t="s">
        <v>2582</v>
      </c>
      <c r="P863" t="str">
        <f>RIGHT(RIGHT(Table2[[#This Row],[last Updated]],12),4)</f>
        <v xml:space="preserve"> PDT</v>
      </c>
      <c r="Q863" t="s">
        <v>121</v>
      </c>
    </row>
    <row r="864" spans="1:17" x14ac:dyDescent="0.25">
      <c r="A864" t="s">
        <v>20</v>
      </c>
      <c r="B864" t="str">
        <f>UPPER(Table2[[#This Row],[Brand]])</f>
        <v>GIORGIO ARMANI</v>
      </c>
      <c r="C864" t="str">
        <f>LOWER(Table2[[#This Row],[Brand]])</f>
        <v>giorgio armani</v>
      </c>
      <c r="D864" t="str">
        <f>PROPER(Table2[[#This Row],[Brand]])</f>
        <v>Giorgio Armani</v>
      </c>
      <c r="E864" t="s">
        <v>15</v>
      </c>
      <c r="F864">
        <v>29.99</v>
      </c>
      <c r="G864" t="s">
        <v>400</v>
      </c>
      <c r="H86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$29.99</v>
      </c>
      <c r="I864" t="str">
        <f>LEFT(Table2[[#This Row],[priceWithCurrency]],3)</f>
        <v xml:space="preserve">US </v>
      </c>
      <c r="J864">
        <v>10</v>
      </c>
      <c r="K864" t="str">
        <f>IF(Table2[[#This Row],[Available]]&lt;=50, "Less Stock", "Required stock" )</f>
        <v>Less Stock</v>
      </c>
      <c r="L864">
        <f t="shared" si="13"/>
        <v>217.95000000000002</v>
      </c>
      <c r="M864" t="s">
        <v>2583</v>
      </c>
      <c r="N864">
        <v>61</v>
      </c>
      <c r="O864" t="s">
        <v>2584</v>
      </c>
      <c r="P864" t="str">
        <f>RIGHT(RIGHT(Table2[[#This Row],[last Updated]],12),4)</f>
        <v xml:space="preserve"> PDT</v>
      </c>
      <c r="Q864" t="s">
        <v>36</v>
      </c>
    </row>
    <row r="865" spans="1:17" x14ac:dyDescent="0.25">
      <c r="A865" t="s">
        <v>2585</v>
      </c>
      <c r="B865" t="str">
        <f>UPPER(Table2[[#This Row],[Brand]])</f>
        <v>MONTALE</v>
      </c>
      <c r="C865" t="str">
        <f>LOWER(Table2[[#This Row],[Brand]])</f>
        <v>montale</v>
      </c>
      <c r="D865" t="str">
        <f>PROPER(Table2[[#This Row],[Brand]])</f>
        <v>Montale</v>
      </c>
      <c r="E865" t="s">
        <v>4</v>
      </c>
      <c r="F865">
        <v>59</v>
      </c>
      <c r="G865" t="s">
        <v>1158</v>
      </c>
      <c r="H86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$59.00</v>
      </c>
      <c r="I865" t="str">
        <f>LEFT(Table2[[#This Row],[priceWithCurrency]],3)</f>
        <v xml:space="preserve">US </v>
      </c>
      <c r="J865">
        <v>6</v>
      </c>
      <c r="K865" t="str">
        <f>IF(Table2[[#This Row],[Available]]&lt;=50, "Less Stock", "Required stock" )</f>
        <v>Less Stock</v>
      </c>
      <c r="L865">
        <f t="shared" si="13"/>
        <v>1332.26</v>
      </c>
      <c r="M865" t="s">
        <v>2586</v>
      </c>
      <c r="N865">
        <v>4</v>
      </c>
      <c r="O865" t="s">
        <v>2587</v>
      </c>
      <c r="P865" t="str">
        <f>RIGHT(RIGHT(Table2[[#This Row],[last Updated]],12),4)</f>
        <v xml:space="preserve"> PDT</v>
      </c>
      <c r="Q865" t="s">
        <v>2588</v>
      </c>
    </row>
    <row r="866" spans="1:17" x14ac:dyDescent="0.25">
      <c r="A866" t="s">
        <v>799</v>
      </c>
      <c r="B866" t="str">
        <f>UPPER(Table2[[#This Row],[Brand]])</f>
        <v>CREED</v>
      </c>
      <c r="C866" t="str">
        <f>LOWER(Table2[[#This Row],[Brand]])</f>
        <v>creed</v>
      </c>
      <c r="D866" t="str">
        <f>PROPER(Table2[[#This Row],[Brand]])</f>
        <v>Creed</v>
      </c>
      <c r="E866" t="s">
        <v>2589</v>
      </c>
      <c r="F866">
        <v>9.9600000000000009</v>
      </c>
      <c r="G866" t="s">
        <v>2590</v>
      </c>
      <c r="H86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$9.96</v>
      </c>
      <c r="I866" t="str">
        <f>LEFT(Table2[[#This Row],[priceWithCurrency]],3)</f>
        <v xml:space="preserve">US </v>
      </c>
      <c r="J866">
        <v>10</v>
      </c>
      <c r="K866" t="str">
        <f>IF(Table2[[#This Row],[Available]]&lt;=50, "Less Stock", "Required stock" )</f>
        <v>Less Stock</v>
      </c>
      <c r="L866">
        <f t="shared" si="13"/>
        <v>220.98</v>
      </c>
      <c r="M866" t="s">
        <v>2591</v>
      </c>
      <c r="N866">
        <v>266</v>
      </c>
      <c r="O866" t="s">
        <v>2592</v>
      </c>
      <c r="P866" t="str">
        <f>RIGHT(RIGHT(Table2[[#This Row],[last Updated]],12),4)</f>
        <v xml:space="preserve"> PDT</v>
      </c>
      <c r="Q866" t="s">
        <v>1983</v>
      </c>
    </row>
    <row r="867" spans="1:17" x14ac:dyDescent="0.25">
      <c r="A867" t="s">
        <v>2593</v>
      </c>
      <c r="B867" t="str">
        <f>UPPER(Table2[[#This Row],[Brand]])</f>
        <v>BRUT</v>
      </c>
      <c r="C867" t="str">
        <f>LOWER(Table2[[#This Row],[Brand]])</f>
        <v>brut</v>
      </c>
      <c r="D867" t="str">
        <f>PROPER(Table2[[#This Row],[Brand]])</f>
        <v>Brut</v>
      </c>
      <c r="E867" t="s">
        <v>2594</v>
      </c>
      <c r="F867">
        <v>19.97</v>
      </c>
      <c r="G867" t="s">
        <v>2595</v>
      </c>
      <c r="H86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$19.97</v>
      </c>
      <c r="I867" t="str">
        <f>LEFT(Table2[[#This Row],[priceWithCurrency]],3)</f>
        <v xml:space="preserve">US </v>
      </c>
      <c r="J867">
        <v>4</v>
      </c>
      <c r="K867" t="str">
        <f>IF(Table2[[#This Row],[Available]]&lt;=50, "Less Stock", "Required stock" )</f>
        <v>Less Stock</v>
      </c>
      <c r="L867">
        <f t="shared" si="13"/>
        <v>1206.31</v>
      </c>
      <c r="M867" t="s">
        <v>2596</v>
      </c>
      <c r="N867">
        <v>15</v>
      </c>
      <c r="O867" t="s">
        <v>2597</v>
      </c>
      <c r="P867" t="str">
        <f>RIGHT(RIGHT(Table2[[#This Row],[last Updated]],12),4)</f>
        <v xml:space="preserve"> PDT</v>
      </c>
      <c r="Q867" t="s">
        <v>1267</v>
      </c>
    </row>
    <row r="868" spans="1:17" x14ac:dyDescent="0.25">
      <c r="A868" t="s">
        <v>66</v>
      </c>
      <c r="B868" t="str">
        <f>UPPER(Table2[[#This Row],[Brand]])</f>
        <v>SECERTMU</v>
      </c>
      <c r="C868" t="str">
        <f>LOWER(Table2[[#This Row],[Brand]])</f>
        <v>secertmu</v>
      </c>
      <c r="D868" t="str">
        <f>PROPER(Table2[[#This Row],[Brand]])</f>
        <v>Secertmu</v>
      </c>
      <c r="E868" t="s">
        <v>590</v>
      </c>
      <c r="F868">
        <v>12.99</v>
      </c>
      <c r="G868" t="s">
        <v>2598</v>
      </c>
      <c r="H86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$12.99</v>
      </c>
      <c r="I868" t="str">
        <f>LEFT(Table2[[#This Row],[priceWithCurrency]],3)</f>
        <v xml:space="preserve">US </v>
      </c>
      <c r="J868">
        <v>10</v>
      </c>
      <c r="K868" t="str">
        <f>IF(Table2[[#This Row],[Available]]&lt;=50, "Less Stock", "Required stock" )</f>
        <v>Less Stock</v>
      </c>
      <c r="L868">
        <f t="shared" si="13"/>
        <v>1206.31</v>
      </c>
      <c r="M868" t="s">
        <v>1387</v>
      </c>
      <c r="N868">
        <v>10</v>
      </c>
      <c r="O868" t="s">
        <v>2599</v>
      </c>
      <c r="P868" t="str">
        <f>RIGHT(RIGHT(Table2[[#This Row],[last Updated]],12),4)</f>
        <v xml:space="preserve"> PDT</v>
      </c>
      <c r="Q868" t="s">
        <v>70</v>
      </c>
    </row>
    <row r="869" spans="1:17" x14ac:dyDescent="0.25">
      <c r="A869" t="s">
        <v>61</v>
      </c>
      <c r="B869" t="str">
        <f>UPPER(Table2[[#This Row],[Brand]])</f>
        <v>DOLCE&amp;GABBANA</v>
      </c>
      <c r="C869" t="str">
        <f>LOWER(Table2[[#This Row],[Brand]])</f>
        <v>dolce&amp;gabbana</v>
      </c>
      <c r="D869" t="str">
        <f>PROPER(Table2[[#This Row],[Brand]])</f>
        <v>Dolce&amp;Gabbana</v>
      </c>
      <c r="E869" t="s">
        <v>4</v>
      </c>
      <c r="F869">
        <v>18.89</v>
      </c>
      <c r="G869" t="s">
        <v>2600</v>
      </c>
      <c r="H86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$18.89</v>
      </c>
      <c r="I869" t="str">
        <f>LEFT(Table2[[#This Row],[priceWithCurrency]],3)</f>
        <v xml:space="preserve">US </v>
      </c>
      <c r="J869">
        <v>10</v>
      </c>
      <c r="K869" t="str">
        <f>IF(Table2[[#This Row],[Available]]&lt;=50, "Less Stock", "Required stock" )</f>
        <v>Less Stock</v>
      </c>
      <c r="L869">
        <f t="shared" si="13"/>
        <v>228.53000000000003</v>
      </c>
      <c r="M869" t="s">
        <v>2601</v>
      </c>
      <c r="N869">
        <v>125</v>
      </c>
      <c r="O869" t="s">
        <v>2602</v>
      </c>
      <c r="P869" t="str">
        <f>RIGHT(RIGHT(Table2[[#This Row],[last Updated]],12),4)</f>
        <v xml:space="preserve"> PDT</v>
      </c>
      <c r="Q869" t="s">
        <v>480</v>
      </c>
    </row>
    <row r="870" spans="1:17" x14ac:dyDescent="0.25">
      <c r="A870" t="s">
        <v>574</v>
      </c>
      <c r="B870" t="str">
        <f>UPPER(Table2[[#This Row],[Brand]])</f>
        <v>BVLGARI</v>
      </c>
      <c r="C870" t="str">
        <f>LOWER(Table2[[#This Row],[Brand]])</f>
        <v>bvlgari</v>
      </c>
      <c r="D870" t="str">
        <f>PROPER(Table2[[#This Row],[Brand]])</f>
        <v>Bvlgari</v>
      </c>
      <c r="E870" t="s">
        <v>4</v>
      </c>
      <c r="F870">
        <v>29.99</v>
      </c>
      <c r="G870" t="s">
        <v>91</v>
      </c>
      <c r="H87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$29.99</v>
      </c>
      <c r="I870" t="str">
        <f>LEFT(Table2[[#This Row],[priceWithCurrency]],3)</f>
        <v xml:space="preserve">US </v>
      </c>
      <c r="J870">
        <v>10</v>
      </c>
      <c r="K870" t="str">
        <f>IF(Table2[[#This Row],[Available]]&lt;=50, "Less Stock", "Required stock" )</f>
        <v>Less Stock</v>
      </c>
      <c r="L870">
        <f t="shared" si="13"/>
        <v>1177.32</v>
      </c>
      <c r="M870" t="s">
        <v>278</v>
      </c>
      <c r="N870">
        <v>25</v>
      </c>
      <c r="O870" t="s">
        <v>2603</v>
      </c>
      <c r="P870" t="str">
        <f>RIGHT(RIGHT(Table2[[#This Row],[last Updated]],12),4)</f>
        <v xml:space="preserve"> PST</v>
      </c>
      <c r="Q870" t="s">
        <v>1987</v>
      </c>
    </row>
    <row r="871" spans="1:17" x14ac:dyDescent="0.25">
      <c r="A871" t="s">
        <v>2604</v>
      </c>
      <c r="B871" t="str">
        <f>UPPER(Table2[[#This Row],[Brand]])</f>
        <v>CHRISTIAN DIOR</v>
      </c>
      <c r="C871" t="str">
        <f>LOWER(Table2[[#This Row],[Brand]])</f>
        <v>christian dior</v>
      </c>
      <c r="D871" t="str">
        <f>PROPER(Table2[[#This Row],[Brand]])</f>
        <v>Christian Dior</v>
      </c>
      <c r="E871" t="s">
        <v>4</v>
      </c>
      <c r="F871">
        <v>27.5</v>
      </c>
      <c r="G871" t="s">
        <v>1699</v>
      </c>
      <c r="H87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$27.50</v>
      </c>
      <c r="I871" t="str">
        <f>LEFT(Table2[[#This Row],[priceWithCurrency]],3)</f>
        <v xml:space="preserve">US </v>
      </c>
      <c r="J871">
        <v>10</v>
      </c>
      <c r="K871" t="str">
        <f>IF(Table2[[#This Row],[Available]]&lt;=50, "Less Stock", "Required stock" )</f>
        <v>Less Stock</v>
      </c>
      <c r="L871">
        <f t="shared" si="13"/>
        <v>58.25</v>
      </c>
      <c r="M871" t="s">
        <v>2605</v>
      </c>
      <c r="N871">
        <v>29</v>
      </c>
      <c r="O871" t="s">
        <v>2606</v>
      </c>
      <c r="P871" t="str">
        <f>RIGHT(RIGHT(Table2[[#This Row],[last Updated]],12),4)</f>
        <v xml:space="preserve"> PDT</v>
      </c>
      <c r="Q871" t="s">
        <v>2607</v>
      </c>
    </row>
    <row r="872" spans="1:17" x14ac:dyDescent="0.25">
      <c r="A872" t="s">
        <v>61</v>
      </c>
      <c r="B872" t="str">
        <f>UPPER(Table2[[#This Row],[Brand]])</f>
        <v>DOLCE&amp;GABBANA</v>
      </c>
      <c r="C872" t="str">
        <f>LOWER(Table2[[#This Row],[Brand]])</f>
        <v>dolce&amp;gabbana</v>
      </c>
      <c r="D872" t="str">
        <f>PROPER(Table2[[#This Row],[Brand]])</f>
        <v>Dolce&amp;Gabbana</v>
      </c>
      <c r="E872" t="s">
        <v>15</v>
      </c>
      <c r="F872">
        <v>34.99</v>
      </c>
      <c r="G872" t="s">
        <v>57</v>
      </c>
      <c r="H87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$34.99</v>
      </c>
      <c r="I872" t="str">
        <f>LEFT(Table2[[#This Row],[priceWithCurrency]],3)</f>
        <v xml:space="preserve">US </v>
      </c>
      <c r="J872">
        <v>4</v>
      </c>
      <c r="K872" t="str">
        <f>IF(Table2[[#This Row],[Available]]&lt;=50, "Less Stock", "Required stock" )</f>
        <v>Less Stock</v>
      </c>
      <c r="L872">
        <f t="shared" si="13"/>
        <v>1064.1400000000001</v>
      </c>
      <c r="M872" t="s">
        <v>2608</v>
      </c>
      <c r="N872">
        <v>48</v>
      </c>
      <c r="O872" t="s">
        <v>2609</v>
      </c>
      <c r="P872" t="str">
        <f>RIGHT(RIGHT(Table2[[#This Row],[last Updated]],12),4)</f>
        <v xml:space="preserve"> PDT</v>
      </c>
      <c r="Q872" t="s">
        <v>2610</v>
      </c>
    </row>
    <row r="873" spans="1:17" x14ac:dyDescent="0.25">
      <c r="A873" t="s">
        <v>675</v>
      </c>
      <c r="B873" t="str">
        <f>UPPER(Table2[[#This Row],[Brand]])</f>
        <v>ISSEY MIYAKE</v>
      </c>
      <c r="C873" t="str">
        <f>LOWER(Table2[[#This Row],[Brand]])</f>
        <v>issey miyake</v>
      </c>
      <c r="D873" t="str">
        <f>PROPER(Table2[[#This Row],[Brand]])</f>
        <v>Issey Miyake</v>
      </c>
      <c r="E873" t="s">
        <v>493</v>
      </c>
      <c r="F873">
        <v>24.35</v>
      </c>
      <c r="G873" t="s">
        <v>2611</v>
      </c>
      <c r="H87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$24.35</v>
      </c>
      <c r="I873" t="str">
        <f>LEFT(Table2[[#This Row],[priceWithCurrency]],3)</f>
        <v xml:space="preserve">US </v>
      </c>
      <c r="J873">
        <v>10</v>
      </c>
      <c r="K873" t="str">
        <f>IF(Table2[[#This Row],[Available]]&lt;=50, "Less Stock", "Required stock" )</f>
        <v>Less Stock</v>
      </c>
      <c r="L873">
        <f t="shared" si="13"/>
        <v>1064.1400000000001</v>
      </c>
      <c r="M873" t="s">
        <v>2612</v>
      </c>
      <c r="N873">
        <v>88</v>
      </c>
      <c r="O873" t="s">
        <v>2613</v>
      </c>
      <c r="P873" t="str">
        <f>RIGHT(RIGHT(Table2[[#This Row],[last Updated]],12),4)</f>
        <v xml:space="preserve"> PDT</v>
      </c>
      <c r="Q873" t="s">
        <v>226</v>
      </c>
    </row>
    <row r="874" spans="1:17" x14ac:dyDescent="0.25">
      <c r="A874" t="s">
        <v>399</v>
      </c>
      <c r="B874" t="str">
        <f>UPPER(Table2[[#This Row],[Brand]])</f>
        <v>MOSCHINO</v>
      </c>
      <c r="C874" t="str">
        <f>LOWER(Table2[[#This Row],[Brand]])</f>
        <v>moschino</v>
      </c>
      <c r="D874" t="str">
        <f>PROPER(Table2[[#This Row],[Brand]])</f>
        <v>Moschino</v>
      </c>
      <c r="E874" t="s">
        <v>4</v>
      </c>
      <c r="F874">
        <v>34.99</v>
      </c>
      <c r="G874" t="s">
        <v>57</v>
      </c>
      <c r="H87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$34.99</v>
      </c>
      <c r="I874" t="str">
        <f>LEFT(Table2[[#This Row],[priceWithCurrency]],3)</f>
        <v xml:space="preserve">US </v>
      </c>
      <c r="J874">
        <v>9</v>
      </c>
      <c r="K874" t="str">
        <f>IF(Table2[[#This Row],[Available]]&lt;=50, "Less Stock", "Required stock" )</f>
        <v>Less Stock</v>
      </c>
      <c r="L874">
        <f t="shared" si="13"/>
        <v>1344.96</v>
      </c>
      <c r="M874" t="s">
        <v>2614</v>
      </c>
      <c r="N874">
        <v>3</v>
      </c>
      <c r="O874" t="s">
        <v>2615</v>
      </c>
      <c r="P874" t="str">
        <f>RIGHT(RIGHT(Table2[[#This Row],[last Updated]],12),4)</f>
        <v xml:space="preserve"> PDT</v>
      </c>
      <c r="Q874" t="s">
        <v>36</v>
      </c>
    </row>
    <row r="875" spans="1:17" x14ac:dyDescent="0.25">
      <c r="A875" t="s">
        <v>1452</v>
      </c>
      <c r="B875" t="str">
        <f>UPPER(Table2[[#This Row],[Brand]])</f>
        <v>BOND NO. 9</v>
      </c>
      <c r="C875" t="str">
        <f>LOWER(Table2[[#This Row],[Brand]])</f>
        <v>bond no. 9</v>
      </c>
      <c r="D875" t="str">
        <f>PROPER(Table2[[#This Row],[Brand]])</f>
        <v>Bond No. 9</v>
      </c>
      <c r="E875" t="s">
        <v>276</v>
      </c>
      <c r="F875">
        <v>160.27000000000001</v>
      </c>
      <c r="G875" t="s">
        <v>2616</v>
      </c>
      <c r="H87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$160.27</v>
      </c>
      <c r="I875" t="str">
        <f>LEFT(Table2[[#This Row],[priceWithCurrency]],3)</f>
        <v xml:space="preserve">US </v>
      </c>
      <c r="J875">
        <v>3</v>
      </c>
      <c r="K875" t="str">
        <f>IF(Table2[[#This Row],[Available]]&lt;=50, "Less Stock", "Required stock" )</f>
        <v>Less Stock</v>
      </c>
      <c r="L875">
        <f t="shared" si="13"/>
        <v>1344.96</v>
      </c>
      <c r="M875" t="s">
        <v>2617</v>
      </c>
      <c r="N875">
        <v>47</v>
      </c>
      <c r="O875" t="s">
        <v>2618</v>
      </c>
      <c r="P875" t="str">
        <f>RIGHT(RIGHT(Table2[[#This Row],[last Updated]],12),4)</f>
        <v xml:space="preserve"> PDT</v>
      </c>
      <c r="Q875" t="s">
        <v>226</v>
      </c>
    </row>
    <row r="876" spans="1:17" x14ac:dyDescent="0.25">
      <c r="A876" t="s">
        <v>249</v>
      </c>
      <c r="B876" t="str">
        <f>UPPER(Table2[[#This Row],[Brand]])</f>
        <v>KENNETH COLE</v>
      </c>
      <c r="C876" t="str">
        <f>LOWER(Table2[[#This Row],[Brand]])</f>
        <v>kenneth cole</v>
      </c>
      <c r="D876" t="str">
        <f>PROPER(Table2[[#This Row],[Brand]])</f>
        <v>Kenneth Cole</v>
      </c>
      <c r="E876" t="s">
        <v>2619</v>
      </c>
      <c r="F876">
        <v>24.5</v>
      </c>
      <c r="G876" t="s">
        <v>2620</v>
      </c>
      <c r="H87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$24.50</v>
      </c>
      <c r="I876" t="str">
        <f>LEFT(Table2[[#This Row],[priceWithCurrency]],3)</f>
        <v xml:space="preserve">US </v>
      </c>
      <c r="J876">
        <v>10</v>
      </c>
      <c r="K876" t="str">
        <f>IF(Table2[[#This Row],[Available]]&lt;=50, "Less Stock", "Required stock" )</f>
        <v>Less Stock</v>
      </c>
      <c r="L876">
        <f t="shared" si="13"/>
        <v>1354.95</v>
      </c>
      <c r="M876" t="s">
        <v>2621</v>
      </c>
      <c r="N876">
        <v>415</v>
      </c>
      <c r="O876" t="s">
        <v>2622</v>
      </c>
      <c r="P876" t="str">
        <f>RIGHT(RIGHT(Table2[[#This Row],[last Updated]],12),4)</f>
        <v xml:space="preserve"> PDT</v>
      </c>
      <c r="Q876" t="s">
        <v>1168</v>
      </c>
    </row>
    <row r="877" spans="1:17" x14ac:dyDescent="0.25">
      <c r="A877" t="s">
        <v>1372</v>
      </c>
      <c r="B877" t="str">
        <f>UPPER(Table2[[#This Row],[Brand]])</f>
        <v>FRAGRANCE WORLD</v>
      </c>
      <c r="C877" t="str">
        <f>LOWER(Table2[[#This Row],[Brand]])</f>
        <v>fragrance world</v>
      </c>
      <c r="D877" t="str">
        <f>PROPER(Table2[[#This Row],[Brand]])</f>
        <v>Fragrance World</v>
      </c>
      <c r="E877" t="s">
        <v>26</v>
      </c>
      <c r="F877">
        <v>32.89</v>
      </c>
      <c r="G877" t="s">
        <v>751</v>
      </c>
      <c r="H87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$32.89</v>
      </c>
      <c r="I877" t="str">
        <f>LEFT(Table2[[#This Row],[priceWithCurrency]],3)</f>
        <v xml:space="preserve">US </v>
      </c>
      <c r="J877">
        <v>3</v>
      </c>
      <c r="K877" t="str">
        <f>IF(Table2[[#This Row],[Available]]&lt;=50, "Less Stock", "Required stock" )</f>
        <v>Less Stock</v>
      </c>
      <c r="L877">
        <f t="shared" si="13"/>
        <v>1372.44</v>
      </c>
      <c r="M877" t="s">
        <v>1073</v>
      </c>
      <c r="N877">
        <v>8</v>
      </c>
      <c r="O877" t="s">
        <v>2623</v>
      </c>
      <c r="P877" t="str">
        <f>RIGHT(RIGHT(Table2[[#This Row],[last Updated]],12),4)</f>
        <v xml:space="preserve"> PDT</v>
      </c>
      <c r="Q877" t="s">
        <v>30</v>
      </c>
    </row>
    <row r="878" spans="1:17" x14ac:dyDescent="0.25">
      <c r="A878" t="s">
        <v>219</v>
      </c>
      <c r="B878" t="str">
        <f>UPPER(Table2[[#This Row],[Brand]])</f>
        <v>JOHN VARVATOS</v>
      </c>
      <c r="C878" t="str">
        <f>LOWER(Table2[[#This Row],[Brand]])</f>
        <v>john varvatos</v>
      </c>
      <c r="D878" t="str">
        <f>PROPER(Table2[[#This Row],[Brand]])</f>
        <v>John Varvatos</v>
      </c>
      <c r="E878" t="s">
        <v>15</v>
      </c>
      <c r="F878">
        <v>29.2</v>
      </c>
      <c r="G878" t="s">
        <v>2624</v>
      </c>
      <c r="H87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$29.20</v>
      </c>
      <c r="I878" t="str">
        <f>LEFT(Table2[[#This Row],[priceWithCurrency]],3)</f>
        <v xml:space="preserve">US </v>
      </c>
      <c r="J878">
        <v>21</v>
      </c>
      <c r="K878" t="str">
        <f>IF(Table2[[#This Row],[Available]]&lt;=50, "Less Stock", "Required stock" )</f>
        <v>Less Stock</v>
      </c>
      <c r="L878">
        <f t="shared" si="13"/>
        <v>228.53000000000003</v>
      </c>
      <c r="M878" t="s">
        <v>2625</v>
      </c>
      <c r="N878">
        <v>121</v>
      </c>
      <c r="O878" t="s">
        <v>2626</v>
      </c>
      <c r="P878" t="str">
        <f>RIGHT(RIGHT(Table2[[#This Row],[last Updated]],12),4)</f>
        <v xml:space="preserve"> PDT</v>
      </c>
      <c r="Q878" t="s">
        <v>121</v>
      </c>
    </row>
    <row r="879" spans="1:17" x14ac:dyDescent="0.25">
      <c r="A879" t="s">
        <v>2627</v>
      </c>
      <c r="B879" t="str">
        <f>UPPER(Table2[[#This Row],[Brand]])</f>
        <v>BLUE PERFUMES</v>
      </c>
      <c r="C879" t="str">
        <f>LOWER(Table2[[#This Row],[Brand]])</f>
        <v>blue perfumes</v>
      </c>
      <c r="D879" t="str">
        <f>PROPER(Table2[[#This Row],[Brand]])</f>
        <v>Blue Perfumes</v>
      </c>
      <c r="E879" t="s">
        <v>15</v>
      </c>
      <c r="F879">
        <v>16.989999999999998</v>
      </c>
      <c r="G879" t="s">
        <v>343</v>
      </c>
      <c r="H87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$16.99</v>
      </c>
      <c r="I879" t="str">
        <f>LEFT(Table2[[#This Row],[priceWithCurrency]],3)</f>
        <v xml:space="preserve">US </v>
      </c>
      <c r="K879" t="str">
        <f>IF(Table2[[#This Row],[Available]]&lt;=50, "Less Stock", "Required stock" )</f>
        <v>Less Stock</v>
      </c>
      <c r="L879">
        <f t="shared" si="13"/>
        <v>57.73</v>
      </c>
      <c r="M879" t="s">
        <v>478</v>
      </c>
      <c r="N879">
        <v>3</v>
      </c>
      <c r="O879" t="s">
        <v>2628</v>
      </c>
      <c r="P879" t="str">
        <f>RIGHT(RIGHT(Table2[[#This Row],[last Updated]],12),4)</f>
        <v xml:space="preserve"> PDT</v>
      </c>
      <c r="Q879" t="s">
        <v>2629</v>
      </c>
    </row>
    <row r="880" spans="1:17" x14ac:dyDescent="0.25">
      <c r="A880" t="s">
        <v>2202</v>
      </c>
      <c r="B880" t="str">
        <f>UPPER(Table2[[#This Row],[Brand]])</f>
        <v>HUGO BOSS</v>
      </c>
      <c r="C880" t="str">
        <f>LOWER(Table2[[#This Row],[Brand]])</f>
        <v>hugo boss</v>
      </c>
      <c r="D880" t="str">
        <f>PROPER(Table2[[#This Row],[Brand]])</f>
        <v>Hugo Boss</v>
      </c>
      <c r="E880" t="s">
        <v>15</v>
      </c>
      <c r="F880">
        <v>29.78</v>
      </c>
      <c r="G880" t="s">
        <v>2630</v>
      </c>
      <c r="H88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$29.78</v>
      </c>
      <c r="I880" t="str">
        <f>LEFT(Table2[[#This Row],[priceWithCurrency]],3)</f>
        <v xml:space="preserve">US </v>
      </c>
      <c r="K880" t="str">
        <f>IF(Table2[[#This Row],[Available]]&lt;=50, "Less Stock", "Required stock" )</f>
        <v>Less Stock</v>
      </c>
      <c r="L880">
        <f t="shared" si="13"/>
        <v>1252.0700000000002</v>
      </c>
      <c r="M880" t="s">
        <v>2631</v>
      </c>
      <c r="N880">
        <v>604</v>
      </c>
      <c r="O880" t="s">
        <v>2632</v>
      </c>
      <c r="P880" t="str">
        <f>RIGHT(RIGHT(Table2[[#This Row],[last Updated]],12),4)</f>
        <v xml:space="preserve"> PDT</v>
      </c>
      <c r="Q880" t="s">
        <v>121</v>
      </c>
    </row>
    <row r="881" spans="1:17" x14ac:dyDescent="0.25">
      <c r="A881" t="s">
        <v>1496</v>
      </c>
      <c r="B881" t="str">
        <f>UPPER(Table2[[#This Row],[Brand]])</f>
        <v>AL HARAMAIN</v>
      </c>
      <c r="C881" t="str">
        <f>LOWER(Table2[[#This Row],[Brand]])</f>
        <v>al haramain</v>
      </c>
      <c r="D881" t="str">
        <f>PROPER(Table2[[#This Row],[Brand]])</f>
        <v>Al Haramain</v>
      </c>
      <c r="E881" t="s">
        <v>715</v>
      </c>
      <c r="F881">
        <v>30.93</v>
      </c>
      <c r="G881" t="s">
        <v>2633</v>
      </c>
      <c r="H88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$30.93</v>
      </c>
      <c r="I881" t="str">
        <f>LEFT(Table2[[#This Row],[priceWithCurrency]],3)</f>
        <v xml:space="preserve">US </v>
      </c>
      <c r="J881">
        <v>65</v>
      </c>
      <c r="K881" t="str">
        <f>IF(Table2[[#This Row],[Available]]&lt;=50, "Less Stock", "Required stock" )</f>
        <v>Required stock</v>
      </c>
      <c r="L881">
        <f t="shared" si="13"/>
        <v>1183.77</v>
      </c>
      <c r="M881" t="s">
        <v>2634</v>
      </c>
      <c r="N881">
        <v>998</v>
      </c>
      <c r="O881" t="s">
        <v>2635</v>
      </c>
      <c r="P881" t="str">
        <f>RIGHT(RIGHT(Table2[[#This Row],[last Updated]],12),4)</f>
        <v xml:space="preserve"> PDT</v>
      </c>
      <c r="Q881" t="s">
        <v>121</v>
      </c>
    </row>
    <row r="882" spans="1:17" x14ac:dyDescent="0.25">
      <c r="A882" t="s">
        <v>799</v>
      </c>
      <c r="B882" t="str">
        <f>UPPER(Table2[[#This Row],[Brand]])</f>
        <v>CREED</v>
      </c>
      <c r="C882" t="str">
        <f>LOWER(Table2[[#This Row],[Brand]])</f>
        <v>creed</v>
      </c>
      <c r="D882" t="str">
        <f>PROPER(Table2[[#This Row],[Brand]])</f>
        <v>Creed</v>
      </c>
      <c r="E882" t="s">
        <v>4</v>
      </c>
      <c r="F882">
        <v>180.17</v>
      </c>
      <c r="G882" t="s">
        <v>2636</v>
      </c>
      <c r="H88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$180.17</v>
      </c>
      <c r="I882" t="str">
        <f>LEFT(Table2[[#This Row],[priceWithCurrency]],3)</f>
        <v xml:space="preserve">US </v>
      </c>
      <c r="K882" t="str">
        <f>IF(Table2[[#This Row],[Available]]&lt;=50, "Less Stock", "Required stock" )</f>
        <v>Less Stock</v>
      </c>
      <c r="L882">
        <f t="shared" si="13"/>
        <v>228.53000000000003</v>
      </c>
      <c r="M882" t="s">
        <v>2637</v>
      </c>
      <c r="N882">
        <v>327</v>
      </c>
      <c r="O882" t="s">
        <v>2638</v>
      </c>
      <c r="P882" t="str">
        <f>RIGHT(RIGHT(Table2[[#This Row],[last Updated]],12),4)</f>
        <v xml:space="preserve"> PDT</v>
      </c>
      <c r="Q882" t="s">
        <v>108</v>
      </c>
    </row>
    <row r="883" spans="1:17" x14ac:dyDescent="0.25">
      <c r="A883" t="s">
        <v>750</v>
      </c>
      <c r="B883" t="str">
        <f>UPPER(Table2[[#This Row],[Brand]])</f>
        <v>BOUCHERON</v>
      </c>
      <c r="C883" t="str">
        <f>LOWER(Table2[[#This Row],[Brand]])</f>
        <v>boucheron</v>
      </c>
      <c r="D883" t="str">
        <f>PROPER(Table2[[#This Row],[Brand]])</f>
        <v>Boucheron</v>
      </c>
      <c r="E883" t="s">
        <v>4</v>
      </c>
      <c r="F883">
        <v>35.58</v>
      </c>
      <c r="G883" t="s">
        <v>2639</v>
      </c>
      <c r="H88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$35.58</v>
      </c>
      <c r="I883" t="str">
        <f>LEFT(Table2[[#This Row],[priceWithCurrency]],3)</f>
        <v xml:space="preserve">US </v>
      </c>
      <c r="K883" t="str">
        <f>IF(Table2[[#This Row],[Available]]&lt;=50, "Less Stock", "Required stock" )</f>
        <v>Less Stock</v>
      </c>
      <c r="L883">
        <f t="shared" si="13"/>
        <v>31.47</v>
      </c>
      <c r="M883" t="s">
        <v>2640</v>
      </c>
      <c r="N883">
        <v>1024</v>
      </c>
      <c r="O883" t="s">
        <v>2641</v>
      </c>
      <c r="P883" t="str">
        <f>RIGHT(RIGHT(Table2[[#This Row],[last Updated]],12),4)</f>
        <v xml:space="preserve"> PDT</v>
      </c>
      <c r="Q883" t="s">
        <v>121</v>
      </c>
    </row>
    <row r="884" spans="1:17" x14ac:dyDescent="0.25">
      <c r="A884" t="s">
        <v>2642</v>
      </c>
      <c r="B884" t="str">
        <f>UPPER(Table2[[#This Row],[Brand]])</f>
        <v>FRAGANCE ONE</v>
      </c>
      <c r="C884" t="str">
        <f>LOWER(Table2[[#This Row],[Brand]])</f>
        <v>fragance one</v>
      </c>
      <c r="D884" t="str">
        <f>PROPER(Table2[[#This Row],[Brand]])</f>
        <v>Fragance One</v>
      </c>
      <c r="E884" t="s">
        <v>4</v>
      </c>
      <c r="F884">
        <v>179.99</v>
      </c>
      <c r="G884" t="s">
        <v>2643</v>
      </c>
      <c r="H88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$179.99</v>
      </c>
      <c r="I884" t="str">
        <f>LEFT(Table2[[#This Row],[priceWithCurrency]],3)</f>
        <v xml:space="preserve">US </v>
      </c>
      <c r="J884">
        <v>5</v>
      </c>
      <c r="K884" t="str">
        <f>IF(Table2[[#This Row],[Available]]&lt;=50, "Less Stock", "Required stock" )</f>
        <v>Less Stock</v>
      </c>
      <c r="L884">
        <f t="shared" si="13"/>
        <v>1183.77</v>
      </c>
      <c r="M884" t="s">
        <v>540</v>
      </c>
      <c r="N884">
        <v>5</v>
      </c>
      <c r="O884" t="s">
        <v>2644</v>
      </c>
      <c r="P884" t="str">
        <f>RIGHT(RIGHT(Table2[[#This Row],[last Updated]],12),4)</f>
        <v xml:space="preserve"> PDT</v>
      </c>
      <c r="Q884" t="s">
        <v>2645</v>
      </c>
    </row>
    <row r="885" spans="1:17" x14ac:dyDescent="0.25">
      <c r="A885" t="s">
        <v>90</v>
      </c>
      <c r="B885" t="str">
        <f>UPPER(Table2[[#This Row],[Brand]])</f>
        <v>ARMAF</v>
      </c>
      <c r="C885" t="str">
        <f>LOWER(Table2[[#This Row],[Brand]])</f>
        <v>armaf</v>
      </c>
      <c r="D885" t="str">
        <f>PROPER(Table2[[#This Row],[Brand]])</f>
        <v>Armaf</v>
      </c>
      <c r="E885" t="s">
        <v>4</v>
      </c>
      <c r="F885">
        <v>45.35</v>
      </c>
      <c r="G885" t="s">
        <v>2646</v>
      </c>
      <c r="H88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$45.35</v>
      </c>
      <c r="I885" t="str">
        <f>LEFT(Table2[[#This Row],[priceWithCurrency]],3)</f>
        <v xml:space="preserve">US </v>
      </c>
      <c r="J885">
        <v>2</v>
      </c>
      <c r="K885" t="str">
        <f>IF(Table2[[#This Row],[Available]]&lt;=50, "Less Stock", "Required stock" )</f>
        <v>Less Stock</v>
      </c>
      <c r="L885">
        <f t="shared" si="13"/>
        <v>911.7800000000002</v>
      </c>
      <c r="M885" t="s">
        <v>2647</v>
      </c>
      <c r="N885">
        <v>1</v>
      </c>
      <c r="O885" t="s">
        <v>2648</v>
      </c>
      <c r="P885" t="str">
        <f>RIGHT(RIGHT(Table2[[#This Row],[last Updated]],12),4)</f>
        <v xml:space="preserve"> PDT</v>
      </c>
      <c r="Q885" t="s">
        <v>2649</v>
      </c>
    </row>
    <row r="886" spans="1:17" x14ac:dyDescent="0.25">
      <c r="A886" t="s">
        <v>79</v>
      </c>
      <c r="B886" t="str">
        <f>UPPER(Table2[[#This Row],[Brand]])</f>
        <v>PACO RABANNE</v>
      </c>
      <c r="C886" t="str">
        <f>LOWER(Table2[[#This Row],[Brand]])</f>
        <v>paco rabanne</v>
      </c>
      <c r="D886" t="str">
        <f>PROPER(Table2[[#This Row],[Brand]])</f>
        <v>Paco Rabanne</v>
      </c>
      <c r="E886" t="s">
        <v>1809</v>
      </c>
      <c r="F886">
        <v>99.99</v>
      </c>
      <c r="G886" t="s">
        <v>2410</v>
      </c>
      <c r="H88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$99.99</v>
      </c>
      <c r="I886" t="str">
        <f>LEFT(Table2[[#This Row],[priceWithCurrency]],3)</f>
        <v xml:space="preserve">US </v>
      </c>
      <c r="J886">
        <v>6</v>
      </c>
      <c r="K886" t="str">
        <f>IF(Table2[[#This Row],[Available]]&lt;=50, "Less Stock", "Required stock" )</f>
        <v>Less Stock</v>
      </c>
      <c r="L886">
        <f t="shared" si="13"/>
        <v>1183.77</v>
      </c>
      <c r="M886" t="s">
        <v>2650</v>
      </c>
      <c r="N886">
        <v>50</v>
      </c>
      <c r="O886" t="s">
        <v>2651</v>
      </c>
      <c r="P886" t="str">
        <f>RIGHT(RIGHT(Table2[[#This Row],[last Updated]],12),4)</f>
        <v xml:space="preserve"> PDT</v>
      </c>
      <c r="Q886" t="s">
        <v>973</v>
      </c>
    </row>
    <row r="887" spans="1:17" x14ac:dyDescent="0.25">
      <c r="A887" t="s">
        <v>79</v>
      </c>
      <c r="B887" t="str">
        <f>UPPER(Table2[[#This Row],[Brand]])</f>
        <v>PACO RABANNE</v>
      </c>
      <c r="C887" t="str">
        <f>LOWER(Table2[[#This Row],[Brand]])</f>
        <v>paco rabanne</v>
      </c>
      <c r="D887" t="str">
        <f>PROPER(Table2[[#This Row],[Brand]])</f>
        <v>Paco Rabanne</v>
      </c>
      <c r="E887" t="s">
        <v>4</v>
      </c>
      <c r="F887">
        <v>69.989999999999995</v>
      </c>
      <c r="G887" t="s">
        <v>616</v>
      </c>
      <c r="H88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$69.99</v>
      </c>
      <c r="I887" t="str">
        <f>LEFT(Table2[[#This Row],[priceWithCurrency]],3)</f>
        <v xml:space="preserve">US </v>
      </c>
      <c r="J887">
        <v>10</v>
      </c>
      <c r="K887" t="str">
        <f>IF(Table2[[#This Row],[Available]]&lt;=50, "Less Stock", "Required stock" )</f>
        <v>Less Stock</v>
      </c>
      <c r="L887">
        <f t="shared" si="13"/>
        <v>886.04000000000019</v>
      </c>
      <c r="M887" t="s">
        <v>1402</v>
      </c>
      <c r="N887">
        <v>13</v>
      </c>
      <c r="O887" t="s">
        <v>2652</v>
      </c>
      <c r="P887" t="str">
        <f>RIGHT(RIGHT(Table2[[#This Row],[last Updated]],12),4)</f>
        <v xml:space="preserve"> PST</v>
      </c>
      <c r="Q887" t="s">
        <v>1987</v>
      </c>
    </row>
    <row r="888" spans="1:17" x14ac:dyDescent="0.25">
      <c r="A888" t="s">
        <v>2273</v>
      </c>
      <c r="B888" t="str">
        <f>UPPER(Table2[[#This Row],[Brand]])</f>
        <v>ELIXIR</v>
      </c>
      <c r="C888" t="str">
        <f>LOWER(Table2[[#This Row],[Brand]])</f>
        <v>elixir</v>
      </c>
      <c r="D888" t="str">
        <f>PROPER(Table2[[#This Row],[Brand]])</f>
        <v>Elixir</v>
      </c>
      <c r="E888" t="s">
        <v>2653</v>
      </c>
      <c r="F888">
        <v>110.19</v>
      </c>
      <c r="G888" t="s">
        <v>2654</v>
      </c>
      <c r="H88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$110.19</v>
      </c>
      <c r="I888" t="str">
        <f>LEFT(Table2[[#This Row],[priceWithCurrency]],3)</f>
        <v xml:space="preserve">US </v>
      </c>
      <c r="J888">
        <v>10</v>
      </c>
      <c r="K888" t="str">
        <f>IF(Table2[[#This Row],[Available]]&lt;=50, "Less Stock", "Required stock" )</f>
        <v>Less Stock</v>
      </c>
      <c r="L888">
        <f t="shared" si="13"/>
        <v>879.10000000000025</v>
      </c>
      <c r="M888" t="s">
        <v>2655</v>
      </c>
      <c r="N888">
        <v>11</v>
      </c>
      <c r="O888" t="s">
        <v>2656</v>
      </c>
      <c r="P888" t="str">
        <f>RIGHT(RIGHT(Table2[[#This Row],[last Updated]],12),4)</f>
        <v xml:space="preserve"> PDT</v>
      </c>
      <c r="Q888" t="s">
        <v>2657</v>
      </c>
    </row>
    <row r="889" spans="1:17" x14ac:dyDescent="0.25">
      <c r="A889" t="s">
        <v>2658</v>
      </c>
      <c r="B889" t="str">
        <f>UPPER(Table2[[#This Row],[Brand]])</f>
        <v>MICHAEL MALUL GENTS SCENTS</v>
      </c>
      <c r="C889" t="str">
        <f>LOWER(Table2[[#This Row],[Brand]])</f>
        <v>michael malul gents scents</v>
      </c>
      <c r="D889" t="str">
        <f>PROPER(Table2[[#This Row],[Brand]])</f>
        <v>Michael Malul Gents Scents</v>
      </c>
      <c r="E889" t="s">
        <v>4</v>
      </c>
      <c r="F889">
        <v>99.86</v>
      </c>
      <c r="G889" t="s">
        <v>2659</v>
      </c>
      <c r="H88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$99.86</v>
      </c>
      <c r="I889" t="str">
        <f>LEFT(Table2[[#This Row],[priceWithCurrency]],3)</f>
        <v xml:space="preserve">US </v>
      </c>
      <c r="J889">
        <v>3</v>
      </c>
      <c r="K889" t="str">
        <f>IF(Table2[[#This Row],[Available]]&lt;=50, "Less Stock", "Required stock" )</f>
        <v>Less Stock</v>
      </c>
      <c r="L889">
        <f t="shared" si="13"/>
        <v>879.10000000000025</v>
      </c>
      <c r="M889" t="s">
        <v>781</v>
      </c>
      <c r="N889">
        <v>4</v>
      </c>
      <c r="O889" t="s">
        <v>2660</v>
      </c>
      <c r="P889" t="str">
        <f>RIGHT(RIGHT(Table2[[#This Row],[last Updated]],12),4)</f>
        <v xml:space="preserve"> PDT</v>
      </c>
      <c r="Q889" t="s">
        <v>30</v>
      </c>
    </row>
    <row r="890" spans="1:17" x14ac:dyDescent="0.25">
      <c r="A890" t="s">
        <v>2661</v>
      </c>
      <c r="B890" t="str">
        <f>UPPER(Table2[[#This Row],[Brand]])</f>
        <v>XERJOFF</v>
      </c>
      <c r="C890" t="str">
        <f>LOWER(Table2[[#This Row],[Brand]])</f>
        <v>xerjoff</v>
      </c>
      <c r="D890" t="str">
        <f>PROPER(Table2[[#This Row],[Brand]])</f>
        <v>Xerjoff</v>
      </c>
      <c r="E890" t="s">
        <v>4</v>
      </c>
      <c r="F890">
        <v>11</v>
      </c>
      <c r="G890" t="s">
        <v>465</v>
      </c>
      <c r="H89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$11.00</v>
      </c>
      <c r="I890" t="str">
        <f>LEFT(Table2[[#This Row],[priceWithCurrency]],3)</f>
        <v xml:space="preserve">US </v>
      </c>
      <c r="J890">
        <v>3</v>
      </c>
      <c r="K890" t="str">
        <f>IF(Table2[[#This Row],[Available]]&lt;=50, "Less Stock", "Required stock" )</f>
        <v>Less Stock</v>
      </c>
      <c r="L890">
        <f t="shared" si="13"/>
        <v>1183.77</v>
      </c>
      <c r="M890" t="s">
        <v>2617</v>
      </c>
      <c r="N890">
        <v>47</v>
      </c>
      <c r="O890" t="s">
        <v>2662</v>
      </c>
      <c r="P890" t="str">
        <f>RIGHT(RIGHT(Table2[[#This Row],[last Updated]],12),4)</f>
        <v xml:space="preserve"> PDT</v>
      </c>
      <c r="Q890" t="s">
        <v>1928</v>
      </c>
    </row>
    <row r="891" spans="1:17" x14ac:dyDescent="0.25">
      <c r="A891" t="s">
        <v>1833</v>
      </c>
      <c r="B891" t="str">
        <f>UPPER(Table2[[#This Row],[Brand]])</f>
        <v>GUERLAIN</v>
      </c>
      <c r="C891" t="str">
        <f>LOWER(Table2[[#This Row],[Brand]])</f>
        <v>guerlain</v>
      </c>
      <c r="D891" t="str">
        <f>PROPER(Table2[[#This Row],[Brand]])</f>
        <v>Guerlain</v>
      </c>
      <c r="E891" t="s">
        <v>374</v>
      </c>
      <c r="F891">
        <v>12</v>
      </c>
      <c r="G891" t="s">
        <v>2373</v>
      </c>
      <c r="H89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$12.00</v>
      </c>
      <c r="I891" t="str">
        <f>LEFT(Table2[[#This Row],[priceWithCurrency]],3)</f>
        <v xml:space="preserve">US </v>
      </c>
      <c r="J891">
        <v>7</v>
      </c>
      <c r="K891" t="str">
        <f>IF(Table2[[#This Row],[Available]]&lt;=50, "Less Stock", "Required stock" )</f>
        <v>Less Stock</v>
      </c>
      <c r="L891">
        <f t="shared" si="13"/>
        <v>251.56</v>
      </c>
      <c r="M891" t="s">
        <v>2663</v>
      </c>
      <c r="N891">
        <v>22</v>
      </c>
      <c r="O891" t="s">
        <v>2664</v>
      </c>
      <c r="P891" t="str">
        <f>RIGHT(RIGHT(Table2[[#This Row],[last Updated]],12),4)</f>
        <v xml:space="preserve"> PDT</v>
      </c>
      <c r="Q891" t="s">
        <v>2665</v>
      </c>
    </row>
    <row r="892" spans="1:17" x14ac:dyDescent="0.25">
      <c r="A892" t="s">
        <v>56</v>
      </c>
      <c r="B892" t="str">
        <f>UPPER(Table2[[#This Row],[Brand]])</f>
        <v>RALPH LAUREN</v>
      </c>
      <c r="C892" t="str">
        <f>LOWER(Table2[[#This Row],[Brand]])</f>
        <v>ralph lauren</v>
      </c>
      <c r="D892" t="str">
        <f>PROPER(Table2[[#This Row],[Brand]])</f>
        <v>Ralph Lauren</v>
      </c>
      <c r="E892" t="s">
        <v>15</v>
      </c>
      <c r="F892">
        <v>31.99</v>
      </c>
      <c r="G892" t="s">
        <v>809</v>
      </c>
      <c r="H89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$31.99</v>
      </c>
      <c r="I892" t="str">
        <f>LEFT(Table2[[#This Row],[priceWithCurrency]],3)</f>
        <v xml:space="preserve">US </v>
      </c>
      <c r="J892">
        <v>6</v>
      </c>
      <c r="K892" t="str">
        <f>IF(Table2[[#This Row],[Available]]&lt;=50, "Less Stock", "Required stock" )</f>
        <v>Less Stock</v>
      </c>
      <c r="L892">
        <f t="shared" si="13"/>
        <v>251.56</v>
      </c>
      <c r="M892" t="s">
        <v>1954</v>
      </c>
      <c r="N892">
        <v>15</v>
      </c>
      <c r="O892" t="s">
        <v>2666</v>
      </c>
      <c r="P892" t="str">
        <f>RIGHT(RIGHT(Table2[[#This Row],[last Updated]],12),4)</f>
        <v xml:space="preserve"> PDT</v>
      </c>
      <c r="Q892" t="s">
        <v>55</v>
      </c>
    </row>
    <row r="893" spans="1:17" x14ac:dyDescent="0.25">
      <c r="A893" t="s">
        <v>208</v>
      </c>
      <c r="B893" t="str">
        <f>UPPER(Table2[[#This Row],[Brand]])</f>
        <v>POLO RALPH LAUREN</v>
      </c>
      <c r="C893" t="str">
        <f>LOWER(Table2[[#This Row],[Brand]])</f>
        <v>polo ralph lauren</v>
      </c>
      <c r="D893" t="str">
        <f>PROPER(Table2[[#This Row],[Brand]])</f>
        <v>Polo Ralph Lauren</v>
      </c>
      <c r="E893" t="s">
        <v>4</v>
      </c>
      <c r="F893">
        <v>8.99</v>
      </c>
      <c r="G893" t="s">
        <v>2667</v>
      </c>
      <c r="H89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$8.99</v>
      </c>
      <c r="I893" t="str">
        <f>LEFT(Table2[[#This Row],[priceWithCurrency]],3)</f>
        <v xml:space="preserve">US </v>
      </c>
      <c r="J893">
        <v>4</v>
      </c>
      <c r="K893" t="str">
        <f>IF(Table2[[#This Row],[Available]]&lt;=50, "Less Stock", "Required stock" )</f>
        <v>Less Stock</v>
      </c>
      <c r="L893">
        <f t="shared" si="13"/>
        <v>9.7799999999999994</v>
      </c>
      <c r="M893" t="s">
        <v>566</v>
      </c>
      <c r="N893">
        <v>8</v>
      </c>
      <c r="O893" t="s">
        <v>2668</v>
      </c>
      <c r="P893" t="str">
        <f>RIGHT(RIGHT(Table2[[#This Row],[last Updated]],12),4)</f>
        <v xml:space="preserve"> PDT</v>
      </c>
      <c r="Q893" t="s">
        <v>2669</v>
      </c>
    </row>
    <row r="894" spans="1:17" x14ac:dyDescent="0.25">
      <c r="A894" t="s">
        <v>2670</v>
      </c>
      <c r="B894" t="str">
        <f>UPPER(Table2[[#This Row],[Brand]])</f>
        <v>UNITED SCENTS</v>
      </c>
      <c r="C894" t="str">
        <f>LOWER(Table2[[#This Row],[Brand]])</f>
        <v>united scents</v>
      </c>
      <c r="D894" t="str">
        <f>PROPER(Table2[[#This Row],[Brand]])</f>
        <v>United Scents</v>
      </c>
      <c r="E894" t="s">
        <v>4</v>
      </c>
      <c r="F894">
        <v>14.99</v>
      </c>
      <c r="G894" t="s">
        <v>33</v>
      </c>
      <c r="H89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$14.99</v>
      </c>
      <c r="I894" t="str">
        <f>LEFT(Table2[[#This Row],[priceWithCurrency]],3)</f>
        <v xml:space="preserve">US </v>
      </c>
      <c r="J894">
        <v>10</v>
      </c>
      <c r="K894" t="str">
        <f>IF(Table2[[#This Row],[Available]]&lt;=50, "Less Stock", "Required stock" )</f>
        <v>Less Stock</v>
      </c>
      <c r="L894">
        <f t="shared" si="13"/>
        <v>1163.8699999999999</v>
      </c>
      <c r="M894" t="s">
        <v>1004</v>
      </c>
      <c r="N894">
        <v>20</v>
      </c>
      <c r="O894" t="s">
        <v>2671</v>
      </c>
      <c r="P894" t="str">
        <f>RIGHT(RIGHT(Table2[[#This Row],[last Updated]],12),4)</f>
        <v xml:space="preserve"> PDT</v>
      </c>
      <c r="Q894" t="s">
        <v>2672</v>
      </c>
    </row>
    <row r="895" spans="1:17" x14ac:dyDescent="0.25">
      <c r="A895" t="s">
        <v>504</v>
      </c>
      <c r="B895" t="str">
        <f>UPPER(Table2[[#This Row],[Brand]])</f>
        <v>BURBERRY</v>
      </c>
      <c r="C895" t="str">
        <f>LOWER(Table2[[#This Row],[Brand]])</f>
        <v>burberry</v>
      </c>
      <c r="D895" t="str">
        <f>PROPER(Table2[[#This Row],[Brand]])</f>
        <v>Burberry</v>
      </c>
      <c r="E895" t="s">
        <v>15</v>
      </c>
      <c r="F895">
        <v>39.25</v>
      </c>
      <c r="G895" t="s">
        <v>2673</v>
      </c>
      <c r="H89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$39.25</v>
      </c>
      <c r="I895" t="str">
        <f>LEFT(Table2[[#This Row],[priceWithCurrency]],3)</f>
        <v xml:space="preserve">US </v>
      </c>
      <c r="J895">
        <v>10</v>
      </c>
      <c r="K895" t="str">
        <f>IF(Table2[[#This Row],[Available]]&lt;=50, "Less Stock", "Required stock" )</f>
        <v>Less Stock</v>
      </c>
      <c r="L895">
        <f t="shared" si="13"/>
        <v>786.55000000000007</v>
      </c>
      <c r="M895" t="s">
        <v>2674</v>
      </c>
      <c r="N895">
        <v>30</v>
      </c>
      <c r="O895" t="s">
        <v>2675</v>
      </c>
      <c r="P895" t="str">
        <f>RIGHT(RIGHT(Table2[[#This Row],[last Updated]],12),4)</f>
        <v xml:space="preserve"> PDT</v>
      </c>
      <c r="Q895" t="s">
        <v>121</v>
      </c>
    </row>
    <row r="896" spans="1:17" x14ac:dyDescent="0.25">
      <c r="A896" t="s">
        <v>2088</v>
      </c>
      <c r="B896" t="str">
        <f>UPPER(Table2[[#This Row],[Brand]])</f>
        <v>JIMMY CHOO</v>
      </c>
      <c r="C896" t="str">
        <f>LOWER(Table2[[#This Row],[Brand]])</f>
        <v>jimmy choo</v>
      </c>
      <c r="D896" t="str">
        <f>PROPER(Table2[[#This Row],[Brand]])</f>
        <v>Jimmy Choo</v>
      </c>
      <c r="E896" t="s">
        <v>15</v>
      </c>
      <c r="F896">
        <v>16.5</v>
      </c>
      <c r="G896" t="s">
        <v>2676</v>
      </c>
      <c r="H89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$16.50</v>
      </c>
      <c r="I896" t="str">
        <f>LEFT(Table2[[#This Row],[priceWithCurrency]],3)</f>
        <v xml:space="preserve">US </v>
      </c>
      <c r="J896">
        <v>5</v>
      </c>
      <c r="K896" t="str">
        <f>IF(Table2[[#This Row],[Available]]&lt;=50, "Less Stock", "Required stock" )</f>
        <v>Less Stock</v>
      </c>
      <c r="L896">
        <f t="shared" si="13"/>
        <v>219.54000000000002</v>
      </c>
      <c r="M896" t="s">
        <v>2677</v>
      </c>
      <c r="N896">
        <v>67</v>
      </c>
      <c r="O896" t="s">
        <v>2678</v>
      </c>
      <c r="P896" t="str">
        <f>RIGHT(RIGHT(Table2[[#This Row],[last Updated]],12),4)</f>
        <v xml:space="preserve"> PDT</v>
      </c>
      <c r="Q896" t="s">
        <v>2679</v>
      </c>
    </row>
    <row r="897" spans="1:17" x14ac:dyDescent="0.25">
      <c r="A897" t="s">
        <v>335</v>
      </c>
      <c r="B897" t="str">
        <f>UPPER(Table2[[#This Row],[Brand]])</f>
        <v>COLOGNE</v>
      </c>
      <c r="C897" t="str">
        <f>LOWER(Table2[[#This Row],[Brand]])</f>
        <v>cologne</v>
      </c>
      <c r="D897" t="str">
        <f>PROPER(Table2[[#This Row],[Brand]])</f>
        <v>Cologne</v>
      </c>
      <c r="E897" t="s">
        <v>4</v>
      </c>
      <c r="F897">
        <v>24.99</v>
      </c>
      <c r="G897" t="s">
        <v>1389</v>
      </c>
      <c r="H89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$24.99</v>
      </c>
      <c r="I897" t="str">
        <f>LEFT(Table2[[#This Row],[priceWithCurrency]],3)</f>
        <v xml:space="preserve">US </v>
      </c>
      <c r="K897" t="str">
        <f>IF(Table2[[#This Row],[Available]]&lt;=50, "Less Stock", "Required stock" )</f>
        <v>Less Stock</v>
      </c>
      <c r="L897">
        <f t="shared" si="13"/>
        <v>786.55000000000007</v>
      </c>
      <c r="M897" t="s">
        <v>1615</v>
      </c>
      <c r="N897">
        <v>2</v>
      </c>
      <c r="P897" t="str">
        <f>RIGHT(RIGHT(Table2[[#This Row],[last Updated]],12),4)</f>
        <v/>
      </c>
      <c r="Q897" t="s">
        <v>2680</v>
      </c>
    </row>
    <row r="898" spans="1:17" x14ac:dyDescent="0.25">
      <c r="A898" t="s">
        <v>1419</v>
      </c>
      <c r="B898" t="str">
        <f>UPPER(Table2[[#This Row],[Brand]])</f>
        <v>AVON</v>
      </c>
      <c r="C898" t="str">
        <f>LOWER(Table2[[#This Row],[Brand]])</f>
        <v>avon</v>
      </c>
      <c r="D898" t="str">
        <f>PROPER(Table2[[#This Row],[Brand]])</f>
        <v>Avon</v>
      </c>
      <c r="E898" t="s">
        <v>15</v>
      </c>
      <c r="F898">
        <v>34.99</v>
      </c>
      <c r="G898" t="s">
        <v>1718</v>
      </c>
      <c r="H89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$34.99</v>
      </c>
      <c r="I898" t="str">
        <f>LEFT(Table2[[#This Row],[priceWithCurrency]],3)</f>
        <v xml:space="preserve">US </v>
      </c>
      <c r="J898">
        <v>10</v>
      </c>
      <c r="K898" t="str">
        <f>IF(Table2[[#This Row],[Available]]&lt;=50, "Less Stock", "Required stock" )</f>
        <v>Less Stock</v>
      </c>
      <c r="L898">
        <f t="shared" ref="L898:L961" si="14">SUMIF(E898:E978,E942,F942:F1897)</f>
        <v>967.70000000000016</v>
      </c>
      <c r="M898" t="s">
        <v>2681</v>
      </c>
      <c r="N898">
        <v>577</v>
      </c>
      <c r="O898" t="s">
        <v>2682</v>
      </c>
      <c r="P898" t="str">
        <f>RIGHT(RIGHT(Table2[[#This Row],[last Updated]],12),4)</f>
        <v xml:space="preserve"> PDT</v>
      </c>
      <c r="Q898" t="s">
        <v>497</v>
      </c>
    </row>
    <row r="899" spans="1:17" x14ac:dyDescent="0.25">
      <c r="A899" t="s">
        <v>2088</v>
      </c>
      <c r="B899" t="str">
        <f>UPPER(Table2[[#This Row],[Brand]])</f>
        <v>JIMMY CHOO</v>
      </c>
      <c r="C899" t="str">
        <f>LOWER(Table2[[#This Row],[Brand]])</f>
        <v>jimmy choo</v>
      </c>
      <c r="D899" t="str">
        <f>PROPER(Table2[[#This Row],[Brand]])</f>
        <v>Jimmy Choo</v>
      </c>
      <c r="E899" t="s">
        <v>15</v>
      </c>
      <c r="F899">
        <v>68.72</v>
      </c>
      <c r="G899" t="s">
        <v>2683</v>
      </c>
      <c r="H89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$68.72</v>
      </c>
      <c r="I899" t="str">
        <f>LEFT(Table2[[#This Row],[priceWithCurrency]],3)</f>
        <v xml:space="preserve">US </v>
      </c>
      <c r="J899">
        <v>10</v>
      </c>
      <c r="K899" t="str">
        <f>IF(Table2[[#This Row],[Available]]&lt;=50, "Less Stock", "Required stock" )</f>
        <v>Less Stock</v>
      </c>
      <c r="L899">
        <f t="shared" si="14"/>
        <v>748.55000000000007</v>
      </c>
      <c r="M899" t="s">
        <v>2684</v>
      </c>
      <c r="N899">
        <v>55</v>
      </c>
      <c r="O899" t="s">
        <v>2685</v>
      </c>
      <c r="P899" t="str">
        <f>RIGHT(RIGHT(Table2[[#This Row],[last Updated]],12),4)</f>
        <v xml:space="preserve"> PDT</v>
      </c>
      <c r="Q899" t="s">
        <v>2686</v>
      </c>
    </row>
    <row r="900" spans="1:17" x14ac:dyDescent="0.25">
      <c r="A900" t="s">
        <v>14</v>
      </c>
      <c r="B900" t="str">
        <f>UPPER(Table2[[#This Row],[Brand]])</f>
        <v>UNBRANDED</v>
      </c>
      <c r="C900" t="str">
        <f>LOWER(Table2[[#This Row],[Brand]])</f>
        <v>unbranded</v>
      </c>
      <c r="D900" t="str">
        <f>PROPER(Table2[[#This Row],[Brand]])</f>
        <v>Unbranded</v>
      </c>
      <c r="E900" t="s">
        <v>15</v>
      </c>
      <c r="F900">
        <v>25.89</v>
      </c>
      <c r="G900" t="s">
        <v>2687</v>
      </c>
      <c r="H90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$25.89</v>
      </c>
      <c r="I900" t="str">
        <f>LEFT(Table2[[#This Row],[priceWithCurrency]],3)</f>
        <v xml:space="preserve">US </v>
      </c>
      <c r="J900">
        <v>10</v>
      </c>
      <c r="K900" t="str">
        <f>IF(Table2[[#This Row],[Available]]&lt;=50, "Less Stock", "Required stock" )</f>
        <v>Less Stock</v>
      </c>
      <c r="L900">
        <f t="shared" si="14"/>
        <v>748.55000000000007</v>
      </c>
      <c r="M900" t="s">
        <v>1180</v>
      </c>
      <c r="N900">
        <v>4</v>
      </c>
      <c r="O900" t="s">
        <v>2688</v>
      </c>
      <c r="P900" t="str">
        <f>RIGHT(RIGHT(Table2[[#This Row],[last Updated]],12),4)</f>
        <v xml:space="preserve"> PDT</v>
      </c>
      <c r="Q900" t="s">
        <v>30</v>
      </c>
    </row>
    <row r="901" spans="1:17" x14ac:dyDescent="0.25">
      <c r="A901" t="s">
        <v>574</v>
      </c>
      <c r="B901" t="str">
        <f>UPPER(Table2[[#This Row],[Brand]])</f>
        <v>BVLGARI</v>
      </c>
      <c r="C901" t="str">
        <f>LOWER(Table2[[#This Row],[Brand]])</f>
        <v>bvlgari</v>
      </c>
      <c r="D901" t="str">
        <f>PROPER(Table2[[#This Row],[Brand]])</f>
        <v>Bvlgari</v>
      </c>
      <c r="E901" t="s">
        <v>4</v>
      </c>
      <c r="F901">
        <v>250</v>
      </c>
      <c r="G901" t="s">
        <v>2689</v>
      </c>
      <c r="H90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$250.00</v>
      </c>
      <c r="I901" t="str">
        <f>LEFT(Table2[[#This Row],[priceWithCurrency]],3)</f>
        <v xml:space="preserve">US </v>
      </c>
      <c r="K901" t="str">
        <f>IF(Table2[[#This Row],[Available]]&lt;=50, "Less Stock", "Required stock" )</f>
        <v>Less Stock</v>
      </c>
      <c r="L901">
        <f t="shared" si="14"/>
        <v>219.54000000000002</v>
      </c>
      <c r="P901" t="str">
        <f>RIGHT(RIGHT(Table2[[#This Row],[last Updated]],12),4)</f>
        <v/>
      </c>
      <c r="Q901" t="s">
        <v>2690</v>
      </c>
    </row>
    <row r="902" spans="1:17" x14ac:dyDescent="0.25">
      <c r="A902" t="s">
        <v>270</v>
      </c>
      <c r="B902" t="str">
        <f>UPPER(Table2[[#This Row],[Brand]])</f>
        <v>YVES SAINT LAURENT</v>
      </c>
      <c r="C902" t="str">
        <f>LOWER(Table2[[#This Row],[Brand]])</f>
        <v>yves saint laurent</v>
      </c>
      <c r="D902" t="str">
        <f>PROPER(Table2[[#This Row],[Brand]])</f>
        <v>Yves Saint Laurent</v>
      </c>
      <c r="E902" t="s">
        <v>15</v>
      </c>
      <c r="F902">
        <v>16.95</v>
      </c>
      <c r="G902" t="s">
        <v>2691</v>
      </c>
      <c r="H90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$16.95</v>
      </c>
      <c r="I902" t="str">
        <f>LEFT(Table2[[#This Row],[priceWithCurrency]],3)</f>
        <v xml:space="preserve">US </v>
      </c>
      <c r="J902">
        <v>10</v>
      </c>
      <c r="K902" t="str">
        <f>IF(Table2[[#This Row],[Available]]&lt;=50, "Less Stock", "Required stock" )</f>
        <v>Less Stock</v>
      </c>
      <c r="L902">
        <f t="shared" si="14"/>
        <v>825.22000000000014</v>
      </c>
      <c r="M902" t="s">
        <v>2692</v>
      </c>
      <c r="N902">
        <v>69</v>
      </c>
      <c r="O902" t="s">
        <v>2693</v>
      </c>
      <c r="P902" t="str">
        <f>RIGHT(RIGHT(Table2[[#This Row],[last Updated]],12),4)</f>
        <v xml:space="preserve"> PDT</v>
      </c>
      <c r="Q902" t="s">
        <v>1019</v>
      </c>
    </row>
    <row r="903" spans="1:17" x14ac:dyDescent="0.25">
      <c r="A903" t="s">
        <v>20</v>
      </c>
      <c r="B903" t="str">
        <f>UPPER(Table2[[#This Row],[Brand]])</f>
        <v>GIORGIO ARMANI</v>
      </c>
      <c r="C903" t="str">
        <f>LOWER(Table2[[#This Row],[Brand]])</f>
        <v>giorgio armani</v>
      </c>
      <c r="D903" t="str">
        <f>PROPER(Table2[[#This Row],[Brand]])</f>
        <v>Giorgio Armani</v>
      </c>
      <c r="E903" t="s">
        <v>15</v>
      </c>
      <c r="F903">
        <v>36.5</v>
      </c>
      <c r="G903" t="s">
        <v>2694</v>
      </c>
      <c r="H90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$36.50</v>
      </c>
      <c r="I903" t="str">
        <f>LEFT(Table2[[#This Row],[priceWithCurrency]],3)</f>
        <v xml:space="preserve">US </v>
      </c>
      <c r="J903">
        <v>3</v>
      </c>
      <c r="K903" t="str">
        <f>IF(Table2[[#This Row],[Available]]&lt;=50, "Less Stock", "Required stock" )</f>
        <v>Less Stock</v>
      </c>
      <c r="L903">
        <f t="shared" si="14"/>
        <v>733.56000000000006</v>
      </c>
      <c r="M903" t="s">
        <v>2695</v>
      </c>
      <c r="N903">
        <v>185</v>
      </c>
      <c r="O903" t="s">
        <v>2696</v>
      </c>
      <c r="P903" t="str">
        <f>RIGHT(RIGHT(Table2[[#This Row],[last Updated]],12),4)</f>
        <v xml:space="preserve"> PDT</v>
      </c>
      <c r="Q903" t="s">
        <v>2697</v>
      </c>
    </row>
    <row r="904" spans="1:17" x14ac:dyDescent="0.25">
      <c r="A904" t="s">
        <v>799</v>
      </c>
      <c r="B904" t="str">
        <f>UPPER(Table2[[#This Row],[Brand]])</f>
        <v>CREED</v>
      </c>
      <c r="C904" t="str">
        <f>LOWER(Table2[[#This Row],[Brand]])</f>
        <v>creed</v>
      </c>
      <c r="D904" t="str">
        <f>PROPER(Table2[[#This Row],[Brand]])</f>
        <v>Creed</v>
      </c>
      <c r="E904" t="s">
        <v>4</v>
      </c>
      <c r="F904">
        <v>15.95</v>
      </c>
      <c r="G904" t="s">
        <v>1705</v>
      </c>
      <c r="H90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$15.95</v>
      </c>
      <c r="I904" t="str">
        <f>LEFT(Table2[[#This Row],[priceWithCurrency]],3)</f>
        <v xml:space="preserve">US </v>
      </c>
      <c r="J904">
        <v>6</v>
      </c>
      <c r="K904" t="str">
        <f>IF(Table2[[#This Row],[Available]]&lt;=50, "Less Stock", "Required stock" )</f>
        <v>Less Stock</v>
      </c>
      <c r="L904">
        <f t="shared" si="14"/>
        <v>734.7</v>
      </c>
      <c r="M904" t="s">
        <v>2698</v>
      </c>
      <c r="N904">
        <v>30</v>
      </c>
      <c r="O904" t="s">
        <v>2699</v>
      </c>
      <c r="P904" t="str">
        <f>RIGHT(RIGHT(Table2[[#This Row],[last Updated]],12),4)</f>
        <v xml:space="preserve"> PST</v>
      </c>
      <c r="Q904" t="s">
        <v>1108</v>
      </c>
    </row>
    <row r="905" spans="1:17" x14ac:dyDescent="0.25">
      <c r="A905" t="s">
        <v>180</v>
      </c>
      <c r="B905" t="str">
        <f>UPPER(Table2[[#This Row],[Brand]])</f>
        <v>CALVIN KLEIN</v>
      </c>
      <c r="C905" t="str">
        <f>LOWER(Table2[[#This Row],[Brand]])</f>
        <v>calvin klein</v>
      </c>
      <c r="D905" t="str">
        <f>PROPER(Table2[[#This Row],[Brand]])</f>
        <v>Calvin Klein</v>
      </c>
      <c r="E905" t="s">
        <v>15</v>
      </c>
      <c r="F905">
        <v>24.95</v>
      </c>
      <c r="G905" t="s">
        <v>2700</v>
      </c>
      <c r="H90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$24.95</v>
      </c>
      <c r="I905" t="str">
        <f>LEFT(Table2[[#This Row],[priceWithCurrency]],3)</f>
        <v xml:space="preserve">US </v>
      </c>
      <c r="J905">
        <v>6</v>
      </c>
      <c r="K905" t="str">
        <f>IF(Table2[[#This Row],[Available]]&lt;=50, "Less Stock", "Required stock" )</f>
        <v>Less Stock</v>
      </c>
      <c r="L905">
        <f t="shared" si="14"/>
        <v>73.52</v>
      </c>
      <c r="M905" t="s">
        <v>387</v>
      </c>
      <c r="N905">
        <v>8</v>
      </c>
      <c r="P905" t="str">
        <f>RIGHT(RIGHT(Table2[[#This Row],[last Updated]],12),4)</f>
        <v/>
      </c>
      <c r="Q905" t="s">
        <v>1075</v>
      </c>
    </row>
    <row r="906" spans="1:17" x14ac:dyDescent="0.25">
      <c r="A906" t="s">
        <v>14</v>
      </c>
      <c r="B906" t="str">
        <f>UPPER(Table2[[#This Row],[Brand]])</f>
        <v>UNBRANDED</v>
      </c>
      <c r="C906" t="str">
        <f>LOWER(Table2[[#This Row],[Brand]])</f>
        <v>unbranded</v>
      </c>
      <c r="D906" t="str">
        <f>PROPER(Table2[[#This Row],[Brand]])</f>
        <v>Unbranded</v>
      </c>
      <c r="E906" t="s">
        <v>2701</v>
      </c>
      <c r="F906">
        <v>7.19</v>
      </c>
      <c r="G906" t="s">
        <v>2702</v>
      </c>
      <c r="H90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$7.19</v>
      </c>
      <c r="I906" t="str">
        <f>LEFT(Table2[[#This Row],[priceWithCurrency]],3)</f>
        <v xml:space="preserve">US </v>
      </c>
      <c r="J906">
        <v>10</v>
      </c>
      <c r="K906" t="str">
        <f>IF(Table2[[#This Row],[Available]]&lt;=50, "Less Stock", "Required stock" )</f>
        <v>Less Stock</v>
      </c>
      <c r="L906">
        <f t="shared" si="14"/>
        <v>57.73</v>
      </c>
      <c r="M906" t="s">
        <v>119</v>
      </c>
      <c r="N906">
        <v>131</v>
      </c>
      <c r="O906" t="s">
        <v>2703</v>
      </c>
      <c r="P906" t="str">
        <f>RIGHT(RIGHT(Table2[[#This Row],[last Updated]],12),4)</f>
        <v xml:space="preserve"> PDT</v>
      </c>
      <c r="Q906" t="s">
        <v>36</v>
      </c>
    </row>
    <row r="907" spans="1:17" x14ac:dyDescent="0.25">
      <c r="A907" t="s">
        <v>634</v>
      </c>
      <c r="B907" t="str">
        <f>UPPER(Table2[[#This Row],[Brand]])</f>
        <v>YSL</v>
      </c>
      <c r="C907" t="str">
        <f>LOWER(Table2[[#This Row],[Brand]])</f>
        <v>ysl</v>
      </c>
      <c r="D907" t="str">
        <f>PROPER(Table2[[#This Row],[Brand]])</f>
        <v>Ysl</v>
      </c>
      <c r="E907" t="s">
        <v>4</v>
      </c>
      <c r="F907">
        <v>44.99</v>
      </c>
      <c r="G907" t="s">
        <v>1102</v>
      </c>
      <c r="H90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$44.99</v>
      </c>
      <c r="I907" t="str">
        <f>LEFT(Table2[[#This Row],[priceWithCurrency]],3)</f>
        <v xml:space="preserve">US </v>
      </c>
      <c r="J907">
        <v>10</v>
      </c>
      <c r="K907" t="str">
        <f>IF(Table2[[#This Row],[Available]]&lt;=50, "Less Stock", "Required stock" )</f>
        <v>Less Stock</v>
      </c>
      <c r="L907">
        <f t="shared" si="14"/>
        <v>24.25</v>
      </c>
      <c r="M907" t="s">
        <v>2704</v>
      </c>
      <c r="N907">
        <v>13</v>
      </c>
      <c r="O907" t="s">
        <v>2705</v>
      </c>
      <c r="P907" t="str">
        <f>RIGHT(RIGHT(Table2[[#This Row],[last Updated]],12),4)</f>
        <v xml:space="preserve"> PDT</v>
      </c>
      <c r="Q907" t="s">
        <v>2706</v>
      </c>
    </row>
    <row r="908" spans="1:17" x14ac:dyDescent="0.25">
      <c r="A908" t="s">
        <v>2051</v>
      </c>
      <c r="B908" t="str">
        <f>UPPER(Table2[[#This Row],[Brand]])</f>
        <v>PIERRE CARDIN</v>
      </c>
      <c r="C908" t="str">
        <f>LOWER(Table2[[#This Row],[Brand]])</f>
        <v>pierre cardin</v>
      </c>
      <c r="D908" t="str">
        <f>PROPER(Table2[[#This Row],[Brand]])</f>
        <v>Pierre Cardin</v>
      </c>
      <c r="E908" t="s">
        <v>2707</v>
      </c>
      <c r="F908">
        <v>9.4499999999999993</v>
      </c>
      <c r="G908" t="s">
        <v>2708</v>
      </c>
      <c r="H90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$9.45</v>
      </c>
      <c r="I908" t="str">
        <f>LEFT(Table2[[#This Row],[priceWithCurrency]],3)</f>
        <v xml:space="preserve">US </v>
      </c>
      <c r="J908">
        <v>10</v>
      </c>
      <c r="K908" t="str">
        <f>IF(Table2[[#This Row],[Available]]&lt;=50, "Less Stock", "Required stock" )</f>
        <v>Less Stock</v>
      </c>
      <c r="L908">
        <f t="shared" si="14"/>
        <v>726.7</v>
      </c>
      <c r="M908" t="s">
        <v>2709</v>
      </c>
      <c r="N908">
        <v>56</v>
      </c>
      <c r="O908" t="s">
        <v>2710</v>
      </c>
      <c r="P908" t="str">
        <f>RIGHT(RIGHT(Table2[[#This Row],[last Updated]],12),4)</f>
        <v xml:space="preserve"> PDT</v>
      </c>
      <c r="Q908" t="s">
        <v>2711</v>
      </c>
    </row>
    <row r="909" spans="1:17" x14ac:dyDescent="0.25">
      <c r="A909" t="s">
        <v>79</v>
      </c>
      <c r="B909" t="str">
        <f>UPPER(Table2[[#This Row],[Brand]])</f>
        <v>PACO RABANNE</v>
      </c>
      <c r="C909" t="str">
        <f>LOWER(Table2[[#This Row],[Brand]])</f>
        <v>paco rabanne</v>
      </c>
      <c r="D909" t="str">
        <f>PROPER(Table2[[#This Row],[Brand]])</f>
        <v>Paco Rabanne</v>
      </c>
      <c r="E909" t="s">
        <v>15</v>
      </c>
      <c r="F909">
        <v>39.99</v>
      </c>
      <c r="G909" t="s">
        <v>96</v>
      </c>
      <c r="H90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$39.99</v>
      </c>
      <c r="I909" t="str">
        <f>LEFT(Table2[[#This Row],[priceWithCurrency]],3)</f>
        <v xml:space="preserve">US </v>
      </c>
      <c r="J909">
        <v>10</v>
      </c>
      <c r="K909" t="str">
        <f>IF(Table2[[#This Row],[Available]]&lt;=50, "Less Stock", "Required stock" )</f>
        <v>Less Stock</v>
      </c>
      <c r="L909">
        <f t="shared" si="14"/>
        <v>57.28</v>
      </c>
      <c r="M909" t="s">
        <v>576</v>
      </c>
      <c r="N909">
        <v>5</v>
      </c>
      <c r="O909" t="s">
        <v>2712</v>
      </c>
      <c r="P909" t="str">
        <f>RIGHT(RIGHT(Table2[[#This Row],[last Updated]],12),4)</f>
        <v xml:space="preserve"> PDT</v>
      </c>
      <c r="Q909" t="s">
        <v>406</v>
      </c>
    </row>
    <row r="910" spans="1:17" x14ac:dyDescent="0.25">
      <c r="A910" t="s">
        <v>14</v>
      </c>
      <c r="B910" t="str">
        <f>UPPER(Table2[[#This Row],[Brand]])</f>
        <v>UNBRANDED</v>
      </c>
      <c r="C910" t="str">
        <f>LOWER(Table2[[#This Row],[Brand]])</f>
        <v>unbranded</v>
      </c>
      <c r="D910" t="str">
        <f>PROPER(Table2[[#This Row],[Brand]])</f>
        <v>Unbranded</v>
      </c>
      <c r="E910" t="s">
        <v>32</v>
      </c>
      <c r="F910">
        <v>15.99</v>
      </c>
      <c r="G910" t="s">
        <v>67</v>
      </c>
      <c r="H91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$15.99</v>
      </c>
      <c r="I910" t="str">
        <f>LEFT(Table2[[#This Row],[priceWithCurrency]],3)</f>
        <v xml:space="preserve">US </v>
      </c>
      <c r="J910">
        <v>10</v>
      </c>
      <c r="K910" t="str">
        <f>IF(Table2[[#This Row],[Available]]&lt;=50, "Less Stock", "Required stock" )</f>
        <v>Less Stock</v>
      </c>
      <c r="L910">
        <f t="shared" si="14"/>
        <v>251.56</v>
      </c>
      <c r="M910" t="s">
        <v>2713</v>
      </c>
      <c r="N910">
        <v>81</v>
      </c>
      <c r="O910" t="s">
        <v>2714</v>
      </c>
      <c r="P910" t="str">
        <f>RIGHT(RIGHT(Table2[[#This Row],[last Updated]],12),4)</f>
        <v xml:space="preserve"> PDT</v>
      </c>
      <c r="Q910" t="s">
        <v>36</v>
      </c>
    </row>
    <row r="911" spans="1:17" x14ac:dyDescent="0.25">
      <c r="A911" t="s">
        <v>148</v>
      </c>
      <c r="B911" t="str">
        <f>UPPER(Table2[[#This Row],[Brand]])</f>
        <v>BHARARA</v>
      </c>
      <c r="C911" t="str">
        <f>LOWER(Table2[[#This Row],[Brand]])</f>
        <v>bharara</v>
      </c>
      <c r="D911" t="str">
        <f>PROPER(Table2[[#This Row],[Brand]])</f>
        <v>Bharara</v>
      </c>
      <c r="E911" t="s">
        <v>4</v>
      </c>
      <c r="F911">
        <v>54.85</v>
      </c>
      <c r="G911" t="s">
        <v>2715</v>
      </c>
      <c r="H91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$54.85</v>
      </c>
      <c r="I911" t="str">
        <f>LEFT(Table2[[#This Row],[priceWithCurrency]],3)</f>
        <v xml:space="preserve">US </v>
      </c>
      <c r="J911">
        <v>9</v>
      </c>
      <c r="K911" t="str">
        <f>IF(Table2[[#This Row],[Available]]&lt;=50, "Less Stock", "Required stock" )</f>
        <v>Less Stock</v>
      </c>
      <c r="L911">
        <f t="shared" si="14"/>
        <v>682.22</v>
      </c>
      <c r="M911" t="s">
        <v>2716</v>
      </c>
      <c r="N911">
        <v>8</v>
      </c>
      <c r="O911" t="s">
        <v>2717</v>
      </c>
      <c r="P911" t="str">
        <f>RIGHT(RIGHT(Table2[[#This Row],[last Updated]],12),4)</f>
        <v xml:space="preserve"> PDT</v>
      </c>
      <c r="Q911" t="s">
        <v>121</v>
      </c>
    </row>
    <row r="912" spans="1:17" x14ac:dyDescent="0.25">
      <c r="A912" t="s">
        <v>943</v>
      </c>
      <c r="B912" t="str">
        <f>UPPER(Table2[[#This Row],[Brand]])</f>
        <v>AS SHOWED</v>
      </c>
      <c r="C912" t="str">
        <f>LOWER(Table2[[#This Row],[Brand]])</f>
        <v>as showed</v>
      </c>
      <c r="D912" t="str">
        <f>PROPER(Table2[[#This Row],[Brand]])</f>
        <v>As Showed</v>
      </c>
      <c r="E912" t="s">
        <v>4</v>
      </c>
      <c r="F912">
        <v>42.39</v>
      </c>
      <c r="G912" t="s">
        <v>2718</v>
      </c>
      <c r="H91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$42.39</v>
      </c>
      <c r="I912" t="str">
        <f>LEFT(Table2[[#This Row],[priceWithCurrency]],3)</f>
        <v xml:space="preserve">US </v>
      </c>
      <c r="J912">
        <v>10</v>
      </c>
      <c r="K912" t="str">
        <f>IF(Table2[[#This Row],[Available]]&lt;=50, "Less Stock", "Required stock" )</f>
        <v>Less Stock</v>
      </c>
      <c r="L912">
        <f t="shared" si="14"/>
        <v>627.07000000000005</v>
      </c>
      <c r="M912" t="s">
        <v>1180</v>
      </c>
      <c r="N912">
        <v>4</v>
      </c>
      <c r="O912" t="s">
        <v>2719</v>
      </c>
      <c r="P912" t="str">
        <f>RIGHT(RIGHT(Table2[[#This Row],[last Updated]],12),4)</f>
        <v xml:space="preserve"> PDT</v>
      </c>
      <c r="Q912" t="s">
        <v>2720</v>
      </c>
    </row>
    <row r="913" spans="1:17" x14ac:dyDescent="0.25">
      <c r="A913" t="s">
        <v>2721</v>
      </c>
      <c r="B913" t="str">
        <f>UPPER(Table2[[#This Row],[Brand]])</f>
        <v>ALADDIN</v>
      </c>
      <c r="C913" t="str">
        <f>LOWER(Table2[[#This Row],[Brand]])</f>
        <v>aladdin</v>
      </c>
      <c r="D913" t="str">
        <f>PROPER(Table2[[#This Row],[Brand]])</f>
        <v>Aladdin</v>
      </c>
      <c r="E913" t="s">
        <v>374</v>
      </c>
      <c r="F913">
        <v>28.99</v>
      </c>
      <c r="G913" t="s">
        <v>547</v>
      </c>
      <c r="H91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$28.99</v>
      </c>
      <c r="I913" t="str">
        <f>LEFT(Table2[[#This Row],[priceWithCurrency]],3)</f>
        <v xml:space="preserve">US </v>
      </c>
      <c r="J913">
        <v>8</v>
      </c>
      <c r="K913" t="str">
        <f>IF(Table2[[#This Row],[Available]]&lt;=50, "Less Stock", "Required stock" )</f>
        <v>Less Stock</v>
      </c>
      <c r="L913">
        <f t="shared" si="14"/>
        <v>627.07000000000005</v>
      </c>
      <c r="M913" t="s">
        <v>2722</v>
      </c>
      <c r="N913">
        <v>3</v>
      </c>
      <c r="P913" t="str">
        <f>RIGHT(RIGHT(Table2[[#This Row],[last Updated]],12),4)</f>
        <v/>
      </c>
      <c r="Q913" t="s">
        <v>2723</v>
      </c>
    </row>
    <row r="914" spans="1:17" x14ac:dyDescent="0.25">
      <c r="A914" t="s">
        <v>20</v>
      </c>
      <c r="B914" t="str">
        <f>UPPER(Table2[[#This Row],[Brand]])</f>
        <v>GIORGIO ARMANI</v>
      </c>
      <c r="C914" t="str">
        <f>LOWER(Table2[[#This Row],[Brand]])</f>
        <v>giorgio armani</v>
      </c>
      <c r="D914" t="str">
        <f>PROPER(Table2[[#This Row],[Brand]])</f>
        <v>Giorgio Armani</v>
      </c>
      <c r="E914" t="s">
        <v>4</v>
      </c>
      <c r="F914">
        <v>84.99</v>
      </c>
      <c r="G914" t="s">
        <v>5</v>
      </c>
      <c r="H91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$84.99</v>
      </c>
      <c r="I914" t="str">
        <f>LEFT(Table2[[#This Row],[priceWithCurrency]],3)</f>
        <v xml:space="preserve">US </v>
      </c>
      <c r="J914">
        <v>10</v>
      </c>
      <c r="K914" t="str">
        <f>IF(Table2[[#This Row],[Available]]&lt;=50, "Less Stock", "Required stock" )</f>
        <v>Less Stock</v>
      </c>
      <c r="L914">
        <f t="shared" si="14"/>
        <v>627.07000000000005</v>
      </c>
      <c r="M914" t="s">
        <v>703</v>
      </c>
      <c r="N914">
        <v>8</v>
      </c>
      <c r="O914" t="s">
        <v>2724</v>
      </c>
      <c r="P914" t="str">
        <f>RIGHT(RIGHT(Table2[[#This Row],[last Updated]],12),4)</f>
        <v xml:space="preserve"> PDT</v>
      </c>
      <c r="Q914" t="s">
        <v>406</v>
      </c>
    </row>
    <row r="915" spans="1:17" x14ac:dyDescent="0.25">
      <c r="A915" t="s">
        <v>807</v>
      </c>
      <c r="B915" t="str">
        <f>UPPER(Table2[[#This Row],[Brand]])</f>
        <v>HERMES</v>
      </c>
      <c r="C915" t="str">
        <f>LOWER(Table2[[#This Row],[Brand]])</f>
        <v>hermes</v>
      </c>
      <c r="D915" t="str">
        <f>PROPER(Table2[[#This Row],[Brand]])</f>
        <v>Hermes</v>
      </c>
      <c r="E915" t="s">
        <v>26</v>
      </c>
      <c r="F915">
        <v>28.19</v>
      </c>
      <c r="G915" t="s">
        <v>1738</v>
      </c>
      <c r="H91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$28.19</v>
      </c>
      <c r="I915" t="str">
        <f>LEFT(Table2[[#This Row],[priceWithCurrency]],3)</f>
        <v xml:space="preserve">US </v>
      </c>
      <c r="J915">
        <v>3</v>
      </c>
      <c r="K915" t="str">
        <f>IF(Table2[[#This Row],[Available]]&lt;=50, "Less Stock", "Required stock" )</f>
        <v>Less Stock</v>
      </c>
      <c r="L915">
        <f t="shared" si="14"/>
        <v>627.07000000000005</v>
      </c>
      <c r="M915" t="s">
        <v>1349</v>
      </c>
      <c r="N915">
        <v>6</v>
      </c>
      <c r="O915" t="s">
        <v>2725</v>
      </c>
      <c r="P915" t="str">
        <f>RIGHT(RIGHT(Table2[[#This Row],[last Updated]],12),4)</f>
        <v xml:space="preserve"> PDT</v>
      </c>
      <c r="Q915" t="s">
        <v>30</v>
      </c>
    </row>
    <row r="916" spans="1:17" x14ac:dyDescent="0.25">
      <c r="A916" t="s">
        <v>593</v>
      </c>
      <c r="B916" t="str">
        <f>UPPER(Table2[[#This Row],[Brand]])</f>
        <v>SALVATORE FERRAGAMO</v>
      </c>
      <c r="C916" t="str">
        <f>LOWER(Table2[[#This Row],[Brand]])</f>
        <v>salvatore ferragamo</v>
      </c>
      <c r="D916" t="str">
        <f>PROPER(Table2[[#This Row],[Brand]])</f>
        <v>Salvatore Ferragamo</v>
      </c>
      <c r="E916" t="s">
        <v>4</v>
      </c>
      <c r="F916">
        <v>26.99</v>
      </c>
      <c r="G916" t="s">
        <v>1360</v>
      </c>
      <c r="H91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$26.99</v>
      </c>
      <c r="I916" t="str">
        <f>LEFT(Table2[[#This Row],[priceWithCurrency]],3)</f>
        <v xml:space="preserve">US </v>
      </c>
      <c r="J916">
        <v>3</v>
      </c>
      <c r="K916" t="str">
        <f>IF(Table2[[#This Row],[Available]]&lt;=50, "Less Stock", "Required stock" )</f>
        <v>Less Stock</v>
      </c>
      <c r="L916">
        <f t="shared" si="14"/>
        <v>603.47000000000014</v>
      </c>
      <c r="M916" t="s">
        <v>958</v>
      </c>
      <c r="N916">
        <v>14</v>
      </c>
      <c r="O916" t="s">
        <v>2726</v>
      </c>
      <c r="P916" t="str">
        <f>RIGHT(RIGHT(Table2[[#This Row],[last Updated]],12),4)</f>
        <v xml:space="preserve"> PDT</v>
      </c>
      <c r="Q916" t="s">
        <v>89</v>
      </c>
    </row>
    <row r="917" spans="1:17" x14ac:dyDescent="0.25">
      <c r="A917" t="s">
        <v>170</v>
      </c>
      <c r="B917" t="str">
        <f>UPPER(Table2[[#This Row],[Brand]])</f>
        <v>RASASI</v>
      </c>
      <c r="C917" t="str">
        <f>LOWER(Table2[[#This Row],[Brand]])</f>
        <v>rasasi</v>
      </c>
      <c r="D917" t="str">
        <f>PROPER(Table2[[#This Row],[Brand]])</f>
        <v>Rasasi</v>
      </c>
      <c r="E917" t="s">
        <v>4</v>
      </c>
      <c r="F917">
        <v>49.5</v>
      </c>
      <c r="G917" t="s">
        <v>2727</v>
      </c>
      <c r="H91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$49.50</v>
      </c>
      <c r="I917" t="str">
        <f>LEFT(Table2[[#This Row],[priceWithCurrency]],3)</f>
        <v xml:space="preserve">US </v>
      </c>
      <c r="J917">
        <v>10</v>
      </c>
      <c r="K917" t="str">
        <f>IF(Table2[[#This Row],[Available]]&lt;=50, "Less Stock", "Required stock" )</f>
        <v>Less Stock</v>
      </c>
      <c r="L917">
        <f t="shared" si="14"/>
        <v>571.49000000000012</v>
      </c>
      <c r="M917" t="s">
        <v>305</v>
      </c>
      <c r="N917">
        <v>2</v>
      </c>
      <c r="P917" t="str">
        <f>RIGHT(RIGHT(Table2[[#This Row],[last Updated]],12),4)</f>
        <v/>
      </c>
      <c r="Q917" t="s">
        <v>89</v>
      </c>
    </row>
    <row r="918" spans="1:17" x14ac:dyDescent="0.25">
      <c r="A918" t="s">
        <v>61</v>
      </c>
      <c r="B918" t="str">
        <f>UPPER(Table2[[#This Row],[Brand]])</f>
        <v>DOLCE&amp;GABBANA</v>
      </c>
      <c r="C918" t="str">
        <f>LOWER(Table2[[#This Row],[Brand]])</f>
        <v>dolce&amp;gabbana</v>
      </c>
      <c r="D918" t="str">
        <f>PROPER(Table2[[#This Row],[Brand]])</f>
        <v>Dolce&amp;Gabbana</v>
      </c>
      <c r="E918" t="s">
        <v>15</v>
      </c>
      <c r="F918">
        <v>56.99</v>
      </c>
      <c r="G918" t="s">
        <v>2728</v>
      </c>
      <c r="H91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$56.99</v>
      </c>
      <c r="I918" t="str">
        <f>LEFT(Table2[[#This Row],[priceWithCurrency]],3)</f>
        <v xml:space="preserve">US </v>
      </c>
      <c r="J918">
        <v>68</v>
      </c>
      <c r="K918" t="str">
        <f>IF(Table2[[#This Row],[Available]]&lt;=50, "Less Stock", "Required stock" )</f>
        <v>Required stock</v>
      </c>
      <c r="L918">
        <f t="shared" si="14"/>
        <v>493.49000000000007</v>
      </c>
      <c r="M918" t="s">
        <v>2729</v>
      </c>
      <c r="N918">
        <v>993</v>
      </c>
      <c r="O918" t="s">
        <v>2730</v>
      </c>
      <c r="P918" t="str">
        <f>RIGHT(RIGHT(Table2[[#This Row],[last Updated]],12),4)</f>
        <v xml:space="preserve"> PDT</v>
      </c>
      <c r="Q918" t="s">
        <v>121</v>
      </c>
    </row>
    <row r="919" spans="1:17" x14ac:dyDescent="0.25">
      <c r="A919" t="s">
        <v>574</v>
      </c>
      <c r="B919" t="str">
        <f>UPPER(Table2[[#This Row],[Brand]])</f>
        <v>BVLGARI</v>
      </c>
      <c r="C919" t="str">
        <f>LOWER(Table2[[#This Row],[Brand]])</f>
        <v>bvlgari</v>
      </c>
      <c r="D919" t="str">
        <f>PROPER(Table2[[#This Row],[Brand]])</f>
        <v>Bvlgari</v>
      </c>
      <c r="E919" t="s">
        <v>15</v>
      </c>
      <c r="F919">
        <v>64.02</v>
      </c>
      <c r="G919" t="s">
        <v>2731</v>
      </c>
      <c r="H91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$64.02</v>
      </c>
      <c r="I919" t="str">
        <f>LEFT(Table2[[#This Row],[priceWithCurrency]],3)</f>
        <v xml:space="preserve">US </v>
      </c>
      <c r="J919">
        <v>2</v>
      </c>
      <c r="K919" t="str">
        <f>IF(Table2[[#This Row],[Available]]&lt;=50, "Less Stock", "Required stock" )</f>
        <v>Less Stock</v>
      </c>
      <c r="L919">
        <f t="shared" si="14"/>
        <v>573.65</v>
      </c>
      <c r="M919" t="s">
        <v>1119</v>
      </c>
      <c r="N919">
        <v>10</v>
      </c>
      <c r="O919" t="s">
        <v>2732</v>
      </c>
      <c r="P919" t="str">
        <f>RIGHT(RIGHT(Table2[[#This Row],[last Updated]],12),4)</f>
        <v xml:space="preserve"> PDT</v>
      </c>
      <c r="Q919" t="s">
        <v>108</v>
      </c>
    </row>
    <row r="920" spans="1:17" x14ac:dyDescent="0.25">
      <c r="A920" t="s">
        <v>2733</v>
      </c>
      <c r="B920" t="str">
        <f>UPPER(Table2[[#This Row],[Brand]])</f>
        <v>HANAE MORI</v>
      </c>
      <c r="C920" t="str">
        <f>LOWER(Table2[[#This Row],[Brand]])</f>
        <v>hanae mori</v>
      </c>
      <c r="D920" t="str">
        <f>PROPER(Table2[[#This Row],[Brand]])</f>
        <v>Hanae Mori</v>
      </c>
      <c r="E920" t="s">
        <v>15</v>
      </c>
      <c r="F920">
        <v>15.39</v>
      </c>
      <c r="G920" t="s">
        <v>2734</v>
      </c>
      <c r="H92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$15.39</v>
      </c>
      <c r="I920" t="str">
        <f>LEFT(Table2[[#This Row],[priceWithCurrency]],3)</f>
        <v xml:space="preserve">US </v>
      </c>
      <c r="J920">
        <v>5</v>
      </c>
      <c r="K920" t="str">
        <f>IF(Table2[[#This Row],[Available]]&lt;=50, "Less Stock", "Required stock" )</f>
        <v>Less Stock</v>
      </c>
      <c r="L920">
        <f t="shared" si="14"/>
        <v>543.67000000000007</v>
      </c>
      <c r="M920" t="s">
        <v>1822</v>
      </c>
      <c r="N920">
        <v>1</v>
      </c>
      <c r="O920" t="s">
        <v>2735</v>
      </c>
      <c r="P920" t="str">
        <f>RIGHT(RIGHT(Table2[[#This Row],[last Updated]],12),4)</f>
        <v xml:space="preserve"> PDT</v>
      </c>
      <c r="Q920" t="s">
        <v>36</v>
      </c>
    </row>
    <row r="921" spans="1:17" x14ac:dyDescent="0.25">
      <c r="A921" t="s">
        <v>2736</v>
      </c>
      <c r="B921" t="str">
        <f>UPPER(Table2[[#This Row],[Brand]])</f>
        <v>PHILLIPS-VAN HEUSEN</v>
      </c>
      <c r="C921" t="str">
        <f>LOWER(Table2[[#This Row],[Brand]])</f>
        <v>phillips-van heusen</v>
      </c>
      <c r="D921" t="str">
        <f>PROPER(Table2[[#This Row],[Brand]])</f>
        <v>Phillips-Van Heusen</v>
      </c>
      <c r="E921" t="s">
        <v>15</v>
      </c>
      <c r="F921">
        <v>21.25</v>
      </c>
      <c r="G921" t="s">
        <v>2737</v>
      </c>
      <c r="H92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$21.25</v>
      </c>
      <c r="I921" t="str">
        <f>LEFT(Table2[[#This Row],[priceWithCurrency]],3)</f>
        <v xml:space="preserve">US </v>
      </c>
      <c r="J921">
        <v>10</v>
      </c>
      <c r="K921" t="str">
        <f>IF(Table2[[#This Row],[Available]]&lt;=50, "Less Stock", "Required stock" )</f>
        <v>Less Stock</v>
      </c>
      <c r="L921">
        <f t="shared" si="14"/>
        <v>493.49000000000007</v>
      </c>
      <c r="M921" t="s">
        <v>2738</v>
      </c>
      <c r="N921">
        <v>504</v>
      </c>
      <c r="O921" t="s">
        <v>2739</v>
      </c>
      <c r="P921" t="str">
        <f>RIGHT(RIGHT(Table2[[#This Row],[last Updated]],12),4)</f>
        <v xml:space="preserve"> PDT</v>
      </c>
      <c r="Q921" t="s">
        <v>997</v>
      </c>
    </row>
    <row r="922" spans="1:17" x14ac:dyDescent="0.25">
      <c r="A922" t="s">
        <v>2740</v>
      </c>
      <c r="B922" t="str">
        <f>UPPER(Table2[[#This Row],[Brand]])</f>
        <v>ELIZABETH TAYLOR</v>
      </c>
      <c r="C922" t="str">
        <f>LOWER(Table2[[#This Row],[Brand]])</f>
        <v>elizabeth taylor</v>
      </c>
      <c r="D922" t="str">
        <f>PROPER(Table2[[#This Row],[Brand]])</f>
        <v>Elizabeth Taylor</v>
      </c>
      <c r="E922" t="s">
        <v>374</v>
      </c>
      <c r="F922">
        <v>17.170000000000002</v>
      </c>
      <c r="G922" t="s">
        <v>2741</v>
      </c>
      <c r="H92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$17.17</v>
      </c>
      <c r="I922" t="str">
        <f>LEFT(Table2[[#This Row],[priceWithCurrency]],3)</f>
        <v xml:space="preserve">US </v>
      </c>
      <c r="K922" t="str">
        <f>IF(Table2[[#This Row],[Available]]&lt;=50, "Less Stock", "Required stock" )</f>
        <v>Less Stock</v>
      </c>
      <c r="L922">
        <f t="shared" si="14"/>
        <v>401.42000000000007</v>
      </c>
      <c r="M922" t="s">
        <v>2284</v>
      </c>
      <c r="N922">
        <v>4</v>
      </c>
      <c r="O922" t="s">
        <v>2742</v>
      </c>
      <c r="P922" t="str">
        <f>RIGHT(RIGHT(Table2[[#This Row],[last Updated]],12),4)</f>
        <v xml:space="preserve"> PDT</v>
      </c>
      <c r="Q922" t="s">
        <v>2743</v>
      </c>
    </row>
    <row r="923" spans="1:17" x14ac:dyDescent="0.25">
      <c r="A923" t="s">
        <v>208</v>
      </c>
      <c r="B923" t="str">
        <f>UPPER(Table2[[#This Row],[Brand]])</f>
        <v>POLO RALPH LAUREN</v>
      </c>
      <c r="C923" t="str">
        <f>LOWER(Table2[[#This Row],[Brand]])</f>
        <v>polo ralph lauren</v>
      </c>
      <c r="D923" t="str">
        <f>PROPER(Table2[[#This Row],[Brand]])</f>
        <v>Polo Ralph Lauren</v>
      </c>
      <c r="E923" t="s">
        <v>127</v>
      </c>
      <c r="F923">
        <v>103.2</v>
      </c>
      <c r="G923" t="s">
        <v>2744</v>
      </c>
      <c r="H92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$103.20</v>
      </c>
      <c r="I923" t="str">
        <f>LEFT(Table2[[#This Row],[priceWithCurrency]],3)</f>
        <v xml:space="preserve">US </v>
      </c>
      <c r="J923">
        <v>9</v>
      </c>
      <c r="K923" t="str">
        <f>IF(Table2[[#This Row],[Available]]&lt;=50, "Less Stock", "Required stock" )</f>
        <v>Less Stock</v>
      </c>
      <c r="L923">
        <f t="shared" si="14"/>
        <v>401.42000000000007</v>
      </c>
      <c r="M923" t="s">
        <v>2745</v>
      </c>
      <c r="N923">
        <v>5</v>
      </c>
      <c r="O923" t="s">
        <v>2746</v>
      </c>
      <c r="P923" t="str">
        <f>RIGHT(RIGHT(Table2[[#This Row],[last Updated]],12),4)</f>
        <v xml:space="preserve"> PDT</v>
      </c>
      <c r="Q923" t="s">
        <v>1392</v>
      </c>
    </row>
    <row r="924" spans="1:17" x14ac:dyDescent="0.25">
      <c r="A924" t="s">
        <v>51</v>
      </c>
      <c r="B924" t="str">
        <f>UPPER(Table2[[#This Row],[Brand]])</f>
        <v>GUCCI</v>
      </c>
      <c r="C924" t="str">
        <f>LOWER(Table2[[#This Row],[Brand]])</f>
        <v>gucci</v>
      </c>
      <c r="D924" t="str">
        <f>PROPER(Table2[[#This Row],[Brand]])</f>
        <v>Gucci</v>
      </c>
      <c r="E924" t="s">
        <v>15</v>
      </c>
      <c r="F924">
        <v>68.3</v>
      </c>
      <c r="G924" t="s">
        <v>2747</v>
      </c>
      <c r="H92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$68.30</v>
      </c>
      <c r="I924" t="str">
        <f>LEFT(Table2[[#This Row],[priceWithCurrency]],3)</f>
        <v xml:space="preserve">US </v>
      </c>
      <c r="K924" t="str">
        <f>IF(Table2[[#This Row],[Available]]&lt;=50, "Less Stock", "Required stock" )</f>
        <v>Less Stock</v>
      </c>
      <c r="L924">
        <f t="shared" si="14"/>
        <v>401.42000000000007</v>
      </c>
      <c r="M924" t="s">
        <v>2748</v>
      </c>
      <c r="N924">
        <v>137</v>
      </c>
      <c r="O924" t="s">
        <v>2749</v>
      </c>
      <c r="P924" t="str">
        <f>RIGHT(RIGHT(Table2[[#This Row],[last Updated]],12),4)</f>
        <v xml:space="preserve"> PDT</v>
      </c>
      <c r="Q924" t="s">
        <v>108</v>
      </c>
    </row>
    <row r="925" spans="1:17" x14ac:dyDescent="0.25">
      <c r="A925" t="s">
        <v>95</v>
      </c>
      <c r="B925" t="str">
        <f>UPPER(Table2[[#This Row],[Brand]])</f>
        <v>CAROLINA HERRERA</v>
      </c>
      <c r="C925" t="str">
        <f>LOWER(Table2[[#This Row],[Brand]])</f>
        <v>carolina herrera</v>
      </c>
      <c r="D925" t="str">
        <f>PROPER(Table2[[#This Row],[Brand]])</f>
        <v>Carolina Herrera</v>
      </c>
      <c r="E925" t="s">
        <v>15</v>
      </c>
      <c r="F925">
        <v>65.989999999999995</v>
      </c>
      <c r="G925" t="s">
        <v>2750</v>
      </c>
      <c r="H92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$65.99</v>
      </c>
      <c r="I925" t="str">
        <f>LEFT(Table2[[#This Row],[priceWithCurrency]],3)</f>
        <v xml:space="preserve">US </v>
      </c>
      <c r="J925">
        <v>10</v>
      </c>
      <c r="K925" t="str">
        <f>IF(Table2[[#This Row],[Available]]&lt;=50, "Less Stock", "Required stock" )</f>
        <v>Less Stock</v>
      </c>
      <c r="L925">
        <f t="shared" si="14"/>
        <v>364.43000000000006</v>
      </c>
      <c r="M925" t="s">
        <v>1405</v>
      </c>
      <c r="N925">
        <v>17</v>
      </c>
      <c r="O925" t="s">
        <v>2751</v>
      </c>
      <c r="P925" t="str">
        <f>RIGHT(RIGHT(Table2[[#This Row],[last Updated]],12),4)</f>
        <v xml:space="preserve"> PDT</v>
      </c>
      <c r="Q925" t="s">
        <v>1635</v>
      </c>
    </row>
    <row r="926" spans="1:17" x14ac:dyDescent="0.25">
      <c r="A926" t="s">
        <v>56</v>
      </c>
      <c r="B926" t="str">
        <f>UPPER(Table2[[#This Row],[Brand]])</f>
        <v>RALPH LAUREN</v>
      </c>
      <c r="C926" t="str">
        <f>LOWER(Table2[[#This Row],[Brand]])</f>
        <v>ralph lauren</v>
      </c>
      <c r="D926" t="str">
        <f>PROPER(Table2[[#This Row],[Brand]])</f>
        <v>Ralph Lauren</v>
      </c>
      <c r="E926" t="s">
        <v>374</v>
      </c>
      <c r="F926">
        <v>41.44</v>
      </c>
      <c r="G926" t="s">
        <v>2752</v>
      </c>
      <c r="H92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$41.44</v>
      </c>
      <c r="I926" t="str">
        <f>LEFT(Table2[[#This Row],[priceWithCurrency]],3)</f>
        <v xml:space="preserve">US </v>
      </c>
      <c r="J926">
        <v>84</v>
      </c>
      <c r="K926" t="str">
        <f>IF(Table2[[#This Row],[Available]]&lt;=50, "Less Stock", "Required stock" )</f>
        <v>Required stock</v>
      </c>
      <c r="L926">
        <f t="shared" si="14"/>
        <v>323.24</v>
      </c>
      <c r="M926" t="s">
        <v>2753</v>
      </c>
      <c r="N926">
        <v>145</v>
      </c>
      <c r="O926" t="s">
        <v>2754</v>
      </c>
      <c r="P926" t="str">
        <f>RIGHT(RIGHT(Table2[[#This Row],[last Updated]],12),4)</f>
        <v xml:space="preserve"> PDT</v>
      </c>
      <c r="Q926" t="s">
        <v>121</v>
      </c>
    </row>
    <row r="927" spans="1:17" x14ac:dyDescent="0.25">
      <c r="A927" t="s">
        <v>666</v>
      </c>
      <c r="B927" t="str">
        <f>UPPER(Table2[[#This Row],[Brand]])</f>
        <v>BATH &amp; BODY WORKS</v>
      </c>
      <c r="C927" t="str">
        <f>LOWER(Table2[[#This Row],[Brand]])</f>
        <v>bath &amp; body works</v>
      </c>
      <c r="D927" t="str">
        <f>PROPER(Table2[[#This Row],[Brand]])</f>
        <v>Bath &amp; Body Works</v>
      </c>
      <c r="E927" t="s">
        <v>928</v>
      </c>
      <c r="F927">
        <v>10.91</v>
      </c>
      <c r="G927" t="s">
        <v>2755</v>
      </c>
      <c r="H92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$10.91</v>
      </c>
      <c r="I927" t="str">
        <f>LEFT(Table2[[#This Row],[priceWithCurrency]],3)</f>
        <v xml:space="preserve">US </v>
      </c>
      <c r="K927" t="str">
        <f>IF(Table2[[#This Row],[Available]]&lt;=50, "Less Stock", "Required stock" )</f>
        <v>Less Stock</v>
      </c>
      <c r="L927">
        <f t="shared" si="14"/>
        <v>493.49000000000007</v>
      </c>
      <c r="M927" t="s">
        <v>2756</v>
      </c>
      <c r="N927">
        <v>654</v>
      </c>
      <c r="O927" t="s">
        <v>2757</v>
      </c>
      <c r="P927" t="str">
        <f>RIGHT(RIGHT(Table2[[#This Row],[last Updated]],12),4)</f>
        <v xml:space="preserve"> PDT</v>
      </c>
      <c r="Q927" t="s">
        <v>1383</v>
      </c>
    </row>
    <row r="928" spans="1:17" x14ac:dyDescent="0.25">
      <c r="A928" t="s">
        <v>500</v>
      </c>
      <c r="B928" t="str">
        <f>UPPER(Table2[[#This Row],[Brand]])</f>
        <v>DOSSIER</v>
      </c>
      <c r="C928" t="str">
        <f>LOWER(Table2[[#This Row],[Brand]])</f>
        <v>dossier</v>
      </c>
      <c r="D928" t="str">
        <f>PROPER(Table2[[#This Row],[Brand]])</f>
        <v>Dossier</v>
      </c>
      <c r="E928" t="s">
        <v>15</v>
      </c>
      <c r="F928">
        <v>18.989999999999998</v>
      </c>
      <c r="G928" t="s">
        <v>702</v>
      </c>
      <c r="H92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$18.99</v>
      </c>
      <c r="I928" t="str">
        <f>LEFT(Table2[[#This Row],[priceWithCurrency]],3)</f>
        <v xml:space="preserve">US </v>
      </c>
      <c r="J928">
        <v>10</v>
      </c>
      <c r="K928" t="str">
        <f>IF(Table2[[#This Row],[Available]]&lt;=50, "Less Stock", "Required stock" )</f>
        <v>Less Stock</v>
      </c>
      <c r="L928">
        <f t="shared" si="14"/>
        <v>24.57</v>
      </c>
      <c r="M928" t="s">
        <v>390</v>
      </c>
      <c r="N928">
        <v>14</v>
      </c>
      <c r="O928" t="s">
        <v>2758</v>
      </c>
      <c r="P928" t="str">
        <f>RIGHT(RIGHT(Table2[[#This Row],[last Updated]],12),4)</f>
        <v xml:space="preserve"> PDT</v>
      </c>
      <c r="Q928" t="s">
        <v>926</v>
      </c>
    </row>
    <row r="929" spans="1:17" x14ac:dyDescent="0.25">
      <c r="A929" t="s">
        <v>846</v>
      </c>
      <c r="B929" t="str">
        <f>UPPER(Table2[[#This Row],[Brand]])</f>
        <v>LALIQUE</v>
      </c>
      <c r="C929" t="str">
        <f>LOWER(Table2[[#This Row],[Brand]])</f>
        <v>lalique</v>
      </c>
      <c r="D929" t="str">
        <f>PROPER(Table2[[#This Row],[Brand]])</f>
        <v>Lalique</v>
      </c>
      <c r="E929" t="s">
        <v>4</v>
      </c>
      <c r="F929">
        <v>25.74</v>
      </c>
      <c r="G929" t="s">
        <v>2759</v>
      </c>
      <c r="H92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$25.74</v>
      </c>
      <c r="I929" t="str">
        <f>LEFT(Table2[[#This Row],[priceWithCurrency]],3)</f>
        <v xml:space="preserve">US </v>
      </c>
      <c r="J929">
        <v>5</v>
      </c>
      <c r="K929" t="str">
        <f>IF(Table2[[#This Row],[Available]]&lt;=50, "Less Stock", "Required stock" )</f>
        <v>Less Stock</v>
      </c>
      <c r="L929">
        <f t="shared" si="14"/>
        <v>288.25</v>
      </c>
      <c r="M929" t="s">
        <v>1239</v>
      </c>
      <c r="N929">
        <v>7</v>
      </c>
      <c r="O929" t="s">
        <v>2760</v>
      </c>
      <c r="P929" t="str">
        <f>RIGHT(RIGHT(Table2[[#This Row],[last Updated]],12),4)</f>
        <v xml:space="preserve"> PDT</v>
      </c>
      <c r="Q929" t="s">
        <v>121</v>
      </c>
    </row>
    <row r="930" spans="1:17" x14ac:dyDescent="0.25">
      <c r="A930" t="s">
        <v>195</v>
      </c>
      <c r="B930" t="str">
        <f>UPPER(Table2[[#This Row],[Brand]])</f>
        <v>GIVENCHY</v>
      </c>
      <c r="C930" t="str">
        <f>LOWER(Table2[[#This Row],[Brand]])</f>
        <v>givenchy</v>
      </c>
      <c r="D930" t="str">
        <f>PROPER(Table2[[#This Row],[Brand]])</f>
        <v>Givenchy</v>
      </c>
      <c r="E930" t="s">
        <v>15</v>
      </c>
      <c r="F930">
        <v>50.44</v>
      </c>
      <c r="G930" t="s">
        <v>2761</v>
      </c>
      <c r="H93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$50.44</v>
      </c>
      <c r="I930" t="str">
        <f>LEFT(Table2[[#This Row],[priceWithCurrency]],3)</f>
        <v xml:space="preserve">US </v>
      </c>
      <c r="J930">
        <v>13</v>
      </c>
      <c r="K930" t="str">
        <f>IF(Table2[[#This Row],[Available]]&lt;=50, "Less Stock", "Required stock" )</f>
        <v>Less Stock</v>
      </c>
      <c r="L930">
        <f t="shared" si="14"/>
        <v>288.25</v>
      </c>
      <c r="M930" t="s">
        <v>2762</v>
      </c>
      <c r="N930">
        <v>636</v>
      </c>
      <c r="O930" t="s">
        <v>2763</v>
      </c>
      <c r="P930" t="str">
        <f>RIGHT(RIGHT(Table2[[#This Row],[last Updated]],12),4)</f>
        <v xml:space="preserve"> PDT</v>
      </c>
      <c r="Q930" t="s">
        <v>121</v>
      </c>
    </row>
    <row r="931" spans="1:17" x14ac:dyDescent="0.25">
      <c r="A931" t="s">
        <v>117</v>
      </c>
      <c r="B931" t="str">
        <f>UPPER(Table2[[#This Row],[Brand]])</f>
        <v>AFNAN</v>
      </c>
      <c r="C931" t="str">
        <f>LOWER(Table2[[#This Row],[Brand]])</f>
        <v>afnan</v>
      </c>
      <c r="D931" t="str">
        <f>PROPER(Table2[[#This Row],[Brand]])</f>
        <v>Afnan</v>
      </c>
      <c r="E931" t="s">
        <v>4</v>
      </c>
      <c r="F931">
        <v>6.94</v>
      </c>
      <c r="G931" t="s">
        <v>2764</v>
      </c>
      <c r="H93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$6.94</v>
      </c>
      <c r="I931" t="str">
        <f>LEFT(Table2[[#This Row],[priceWithCurrency]],3)</f>
        <v xml:space="preserve">US </v>
      </c>
      <c r="J931">
        <v>10</v>
      </c>
      <c r="K931" t="str">
        <f>IF(Table2[[#This Row],[Available]]&lt;=50, "Less Stock", "Required stock" )</f>
        <v>Less Stock</v>
      </c>
      <c r="L931">
        <f t="shared" si="14"/>
        <v>269.93</v>
      </c>
      <c r="M931" t="s">
        <v>119</v>
      </c>
      <c r="N931">
        <v>131</v>
      </c>
      <c r="O931" t="s">
        <v>2765</v>
      </c>
      <c r="P931" t="str">
        <f>RIGHT(RIGHT(Table2[[#This Row],[last Updated]],12),4)</f>
        <v xml:space="preserve"> PDT</v>
      </c>
      <c r="Q931" t="s">
        <v>1108</v>
      </c>
    </row>
    <row r="932" spans="1:17" x14ac:dyDescent="0.25">
      <c r="A932" t="s">
        <v>347</v>
      </c>
      <c r="B932" t="str">
        <f>UPPER(Table2[[#This Row],[Brand]])</f>
        <v>AS SHOWN</v>
      </c>
      <c r="C932" t="str">
        <f>LOWER(Table2[[#This Row],[Brand]])</f>
        <v>as shown</v>
      </c>
      <c r="D932" t="str">
        <f>PROPER(Table2[[#This Row],[Brand]])</f>
        <v>As Shown</v>
      </c>
      <c r="E932" t="s">
        <v>4</v>
      </c>
      <c r="F932">
        <v>36.99</v>
      </c>
      <c r="G932" t="s">
        <v>909</v>
      </c>
      <c r="H93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$36.99</v>
      </c>
      <c r="I932" t="str">
        <f>LEFT(Table2[[#This Row],[priceWithCurrency]],3)</f>
        <v xml:space="preserve">US </v>
      </c>
      <c r="J932">
        <v>10</v>
      </c>
      <c r="K932" t="str">
        <f>IF(Table2[[#This Row],[Available]]&lt;=50, "Less Stock", "Required stock" )</f>
        <v>Less Stock</v>
      </c>
      <c r="L932">
        <f t="shared" si="14"/>
        <v>269.93</v>
      </c>
      <c r="M932" t="s">
        <v>2766</v>
      </c>
      <c r="N932">
        <v>12</v>
      </c>
      <c r="O932" t="s">
        <v>2767</v>
      </c>
      <c r="P932" t="str">
        <f>RIGHT(RIGHT(Table2[[#This Row],[last Updated]],12),4)</f>
        <v xml:space="preserve"> PDT</v>
      </c>
      <c r="Q932" t="s">
        <v>1456</v>
      </c>
    </row>
    <row r="933" spans="1:17" x14ac:dyDescent="0.25">
      <c r="A933" t="s">
        <v>2661</v>
      </c>
      <c r="B933" t="str">
        <f>UPPER(Table2[[#This Row],[Brand]])</f>
        <v>XERJOFF</v>
      </c>
      <c r="C933" t="str">
        <f>LOWER(Table2[[#This Row],[Brand]])</f>
        <v>xerjoff</v>
      </c>
      <c r="D933" t="str">
        <f>PROPER(Table2[[#This Row],[Brand]])</f>
        <v>Xerjoff</v>
      </c>
      <c r="E933" t="s">
        <v>4</v>
      </c>
      <c r="F933">
        <v>11.99</v>
      </c>
      <c r="G933" t="s">
        <v>591</v>
      </c>
      <c r="H93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$11.99</v>
      </c>
      <c r="I933" t="str">
        <f>LEFT(Table2[[#This Row],[priceWithCurrency]],3)</f>
        <v xml:space="preserve">US </v>
      </c>
      <c r="J933">
        <v>4</v>
      </c>
      <c r="K933" t="str">
        <f>IF(Table2[[#This Row],[Available]]&lt;=50, "Less Stock", "Required stock" )</f>
        <v>Less Stock</v>
      </c>
      <c r="L933">
        <f t="shared" si="14"/>
        <v>296.29000000000002</v>
      </c>
      <c r="M933" t="s">
        <v>2768</v>
      </c>
      <c r="N933">
        <v>442</v>
      </c>
      <c r="O933" t="s">
        <v>2769</v>
      </c>
      <c r="P933" t="str">
        <f>RIGHT(RIGHT(Table2[[#This Row],[last Updated]],12),4)</f>
        <v xml:space="preserve"> PDT</v>
      </c>
      <c r="Q933" t="s">
        <v>1928</v>
      </c>
    </row>
    <row r="934" spans="1:17" x14ac:dyDescent="0.25">
      <c r="A934" t="s">
        <v>650</v>
      </c>
      <c r="B934" t="str">
        <f>UPPER(Table2[[#This Row],[Brand]])</f>
        <v>JAGUAR</v>
      </c>
      <c r="C934" t="str">
        <f>LOWER(Table2[[#This Row],[Brand]])</f>
        <v>jaguar</v>
      </c>
      <c r="D934" t="str">
        <f>PROPER(Table2[[#This Row],[Brand]])</f>
        <v>Jaguar</v>
      </c>
      <c r="E934" t="s">
        <v>15</v>
      </c>
      <c r="F934">
        <v>14.57</v>
      </c>
      <c r="G934" t="s">
        <v>2770</v>
      </c>
      <c r="H93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$14.57</v>
      </c>
      <c r="I934" t="str">
        <f>LEFT(Table2[[#This Row],[priceWithCurrency]],3)</f>
        <v xml:space="preserve">US </v>
      </c>
      <c r="J934">
        <v>54</v>
      </c>
      <c r="K934" t="str">
        <f>IF(Table2[[#This Row],[Available]]&lt;=50, "Less Stock", "Required stock" )</f>
        <v>Required stock</v>
      </c>
      <c r="L934">
        <f t="shared" si="14"/>
        <v>269.93</v>
      </c>
      <c r="M934" t="s">
        <v>2771</v>
      </c>
      <c r="N934">
        <v>63</v>
      </c>
      <c r="O934" t="s">
        <v>2772</v>
      </c>
      <c r="P934" t="str">
        <f>RIGHT(RIGHT(Table2[[#This Row],[last Updated]],12),4)</f>
        <v xml:space="preserve"> PDT</v>
      </c>
      <c r="Q934" t="s">
        <v>121</v>
      </c>
    </row>
    <row r="935" spans="1:17" x14ac:dyDescent="0.25">
      <c r="A935" t="s">
        <v>2773</v>
      </c>
      <c r="B935" t="str">
        <f>UPPER(Table2[[#This Row],[Brand]])</f>
        <v>AL REHAB</v>
      </c>
      <c r="C935" t="str">
        <f>LOWER(Table2[[#This Row],[Brand]])</f>
        <v>al rehab</v>
      </c>
      <c r="D935" t="str">
        <f>PROPER(Table2[[#This Row],[Brand]])</f>
        <v>Al Rehab</v>
      </c>
      <c r="E935" t="s">
        <v>32</v>
      </c>
      <c r="F935">
        <v>8.99</v>
      </c>
      <c r="G935" t="s">
        <v>2774</v>
      </c>
      <c r="H93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$8.99</v>
      </c>
      <c r="I935" t="str">
        <f>LEFT(Table2[[#This Row],[priceWithCurrency]],3)</f>
        <v xml:space="preserve">US </v>
      </c>
      <c r="J935">
        <v>7</v>
      </c>
      <c r="K935" t="str">
        <f>IF(Table2[[#This Row],[Available]]&lt;=50, "Less Stock", "Required stock" )</f>
        <v>Less Stock</v>
      </c>
      <c r="L935">
        <f t="shared" si="14"/>
        <v>220.41000000000003</v>
      </c>
      <c r="M935" t="s">
        <v>2775</v>
      </c>
      <c r="N935">
        <v>76</v>
      </c>
      <c r="O935" t="s">
        <v>2776</v>
      </c>
      <c r="P935" t="str">
        <f>RIGHT(RIGHT(Table2[[#This Row],[last Updated]],12),4)</f>
        <v xml:space="preserve"> PDT</v>
      </c>
      <c r="Q935" t="s">
        <v>2777</v>
      </c>
    </row>
    <row r="936" spans="1:17" x14ac:dyDescent="0.25">
      <c r="A936" t="s">
        <v>335</v>
      </c>
      <c r="B936" t="str">
        <f>UPPER(Table2[[#This Row],[Brand]])</f>
        <v>COLOGNE</v>
      </c>
      <c r="C936" t="str">
        <f>LOWER(Table2[[#This Row],[Brand]])</f>
        <v>cologne</v>
      </c>
      <c r="D936" t="str">
        <f>PROPER(Table2[[#This Row],[Brand]])</f>
        <v>Cologne</v>
      </c>
      <c r="E936" t="s">
        <v>32</v>
      </c>
      <c r="F936">
        <v>19.899999999999999</v>
      </c>
      <c r="G936" t="s">
        <v>2778</v>
      </c>
      <c r="H93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$19.90</v>
      </c>
      <c r="I936" t="str">
        <f>LEFT(Table2[[#This Row],[priceWithCurrency]],3)</f>
        <v xml:space="preserve">US </v>
      </c>
      <c r="K936" t="str">
        <f>IF(Table2[[#This Row],[Available]]&lt;=50, "Less Stock", "Required stock" )</f>
        <v>Less Stock</v>
      </c>
      <c r="L936">
        <f t="shared" si="14"/>
        <v>216.29000000000002</v>
      </c>
      <c r="M936" t="s">
        <v>2779</v>
      </c>
      <c r="N936">
        <v>331</v>
      </c>
      <c r="O936" t="s">
        <v>2780</v>
      </c>
      <c r="P936" t="str">
        <f>RIGHT(RIGHT(Table2[[#This Row],[last Updated]],12),4)</f>
        <v xml:space="preserve"> PST</v>
      </c>
      <c r="Q936" t="s">
        <v>2781</v>
      </c>
    </row>
    <row r="937" spans="1:17" x14ac:dyDescent="0.25">
      <c r="A937" t="s">
        <v>2782</v>
      </c>
      <c r="B937" t="str">
        <f>UPPER(Table2[[#This Row],[Brand]])</f>
        <v>BOD MAN</v>
      </c>
      <c r="C937" t="str">
        <f>LOWER(Table2[[#This Row],[Brand]])</f>
        <v>bod man</v>
      </c>
      <c r="D937" t="str">
        <f>PROPER(Table2[[#This Row],[Brand]])</f>
        <v>Bod Man</v>
      </c>
      <c r="E937" t="s">
        <v>2783</v>
      </c>
      <c r="F937">
        <v>9.99</v>
      </c>
      <c r="G937" t="s">
        <v>1773</v>
      </c>
      <c r="H93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$9.99</v>
      </c>
      <c r="I937" t="str">
        <f>LEFT(Table2[[#This Row],[priceWithCurrency]],3)</f>
        <v xml:space="preserve">US </v>
      </c>
      <c r="J937">
        <v>3</v>
      </c>
      <c r="K937" t="str">
        <f>IF(Table2[[#This Row],[Available]]&lt;=50, "Less Stock", "Required stock" )</f>
        <v>Less Stock</v>
      </c>
      <c r="L937">
        <f t="shared" si="14"/>
        <v>24.57</v>
      </c>
      <c r="M937" t="s">
        <v>2784</v>
      </c>
      <c r="N937">
        <v>32</v>
      </c>
      <c r="O937" t="s">
        <v>2785</v>
      </c>
      <c r="P937" t="str">
        <f>RIGHT(RIGHT(Table2[[#This Row],[last Updated]],12),4)</f>
        <v xml:space="preserve"> PDT</v>
      </c>
      <c r="Q937" t="s">
        <v>2786</v>
      </c>
    </row>
    <row r="938" spans="1:17" x14ac:dyDescent="0.25">
      <c r="A938" t="s">
        <v>485</v>
      </c>
      <c r="B938" t="str">
        <f>UPPER(Table2[[#This Row],[Brand]])</f>
        <v>DIESEL</v>
      </c>
      <c r="C938" t="str">
        <f>LOWER(Table2[[#This Row],[Brand]])</f>
        <v>diesel</v>
      </c>
      <c r="D938" t="str">
        <f>PROPER(Table2[[#This Row],[Brand]])</f>
        <v>Diesel</v>
      </c>
      <c r="E938" t="s">
        <v>15</v>
      </c>
      <c r="F938">
        <v>56</v>
      </c>
      <c r="G938" t="s">
        <v>2787</v>
      </c>
      <c r="H93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$56.00</v>
      </c>
      <c r="I938" t="str">
        <f>LEFT(Table2[[#This Row],[priceWithCurrency]],3)</f>
        <v xml:space="preserve">US </v>
      </c>
      <c r="J938">
        <v>3</v>
      </c>
      <c r="K938" t="str">
        <f>IF(Table2[[#This Row],[Available]]&lt;=50, "Less Stock", "Required stock" )</f>
        <v>Less Stock</v>
      </c>
      <c r="L938">
        <f t="shared" si="14"/>
        <v>220.41000000000003</v>
      </c>
      <c r="M938" t="s">
        <v>2788</v>
      </c>
      <c r="N938">
        <v>677</v>
      </c>
      <c r="O938" t="s">
        <v>2789</v>
      </c>
      <c r="P938" t="str">
        <f>RIGHT(RIGHT(Table2[[#This Row],[last Updated]],12),4)</f>
        <v xml:space="preserve"> PDT</v>
      </c>
      <c r="Q938" t="s">
        <v>108</v>
      </c>
    </row>
    <row r="939" spans="1:17" x14ac:dyDescent="0.25">
      <c r="A939" t="s">
        <v>2790</v>
      </c>
      <c r="B939" t="str">
        <f>UPPER(Table2[[#This Row],[Brand]])</f>
        <v>AMOUAGE</v>
      </c>
      <c r="C939" t="str">
        <f>LOWER(Table2[[#This Row],[Brand]])</f>
        <v>amouage</v>
      </c>
      <c r="D939" t="str">
        <f>PROPER(Table2[[#This Row],[Brand]])</f>
        <v>Amouage</v>
      </c>
      <c r="E939" t="s">
        <v>4</v>
      </c>
      <c r="F939">
        <v>166.18</v>
      </c>
      <c r="G939" t="s">
        <v>2791</v>
      </c>
      <c r="H93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$166.18</v>
      </c>
      <c r="I939" t="str">
        <f>LEFT(Table2[[#This Row],[priceWithCurrency]],3)</f>
        <v xml:space="preserve">US </v>
      </c>
      <c r="J939">
        <v>10</v>
      </c>
      <c r="K939" t="str">
        <f>IF(Table2[[#This Row],[Available]]&lt;=50, "Less Stock", "Required stock" )</f>
        <v>Less Stock</v>
      </c>
      <c r="L939">
        <f t="shared" si="14"/>
        <v>135.43</v>
      </c>
      <c r="M939" t="s">
        <v>1065</v>
      </c>
      <c r="N939">
        <v>78</v>
      </c>
      <c r="O939" t="s">
        <v>2792</v>
      </c>
      <c r="P939" t="str">
        <f>RIGHT(RIGHT(Table2[[#This Row],[last Updated]],12),4)</f>
        <v xml:space="preserve"> PDT</v>
      </c>
      <c r="Q939" t="s">
        <v>108</v>
      </c>
    </row>
    <row r="940" spans="1:17" x14ac:dyDescent="0.25">
      <c r="A940" t="s">
        <v>56</v>
      </c>
      <c r="B940" t="str">
        <f>UPPER(Table2[[#This Row],[Brand]])</f>
        <v>RALPH LAUREN</v>
      </c>
      <c r="C940" t="str">
        <f>LOWER(Table2[[#This Row],[Brand]])</f>
        <v>ralph lauren</v>
      </c>
      <c r="D940" t="str">
        <f>PROPER(Table2[[#This Row],[Brand]])</f>
        <v>Ralph Lauren</v>
      </c>
      <c r="E940" t="s">
        <v>374</v>
      </c>
      <c r="F940">
        <v>29.99</v>
      </c>
      <c r="G940" t="s">
        <v>400</v>
      </c>
      <c r="H94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$29.99</v>
      </c>
      <c r="I940" t="str">
        <f>LEFT(Table2[[#This Row],[priceWithCurrency]],3)</f>
        <v xml:space="preserve">US </v>
      </c>
      <c r="J940">
        <v>10</v>
      </c>
      <c r="K940" t="str">
        <f>IF(Table2[[#This Row],[Available]]&lt;=50, "Less Stock", "Required stock" )</f>
        <v>Less Stock</v>
      </c>
      <c r="L940">
        <f t="shared" si="14"/>
        <v>174.42000000000002</v>
      </c>
      <c r="M940" t="s">
        <v>2793</v>
      </c>
      <c r="N940">
        <v>60</v>
      </c>
      <c r="O940" t="s">
        <v>2794</v>
      </c>
      <c r="P940" t="str">
        <f>RIGHT(RIGHT(Table2[[#This Row],[last Updated]],12),4)</f>
        <v xml:space="preserve"> PDT</v>
      </c>
      <c r="Q940" t="s">
        <v>89</v>
      </c>
    </row>
    <row r="941" spans="1:17" x14ac:dyDescent="0.25">
      <c r="A941" t="s">
        <v>170</v>
      </c>
      <c r="B941" t="str">
        <f>UPPER(Table2[[#This Row],[Brand]])</f>
        <v>RASASI</v>
      </c>
      <c r="C941" t="str">
        <f>LOWER(Table2[[#This Row],[Brand]])</f>
        <v>rasasi</v>
      </c>
      <c r="D941" t="str">
        <f>PROPER(Table2[[#This Row],[Brand]])</f>
        <v>Rasasi</v>
      </c>
      <c r="E941" t="s">
        <v>4</v>
      </c>
      <c r="F941">
        <v>38</v>
      </c>
      <c r="G941" t="s">
        <v>2331</v>
      </c>
      <c r="H94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$38.00</v>
      </c>
      <c r="I941" t="str">
        <f>LEFT(Table2[[#This Row],[priceWithCurrency]],3)</f>
        <v xml:space="preserve">US </v>
      </c>
      <c r="J941">
        <v>8</v>
      </c>
      <c r="K941" t="str">
        <f>IF(Table2[[#This Row],[Available]]&lt;=50, "Less Stock", "Required stock" )</f>
        <v>Less Stock</v>
      </c>
      <c r="L941">
        <f t="shared" si="14"/>
        <v>174.42000000000002</v>
      </c>
      <c r="M941" t="s">
        <v>2795</v>
      </c>
      <c r="N941">
        <v>12</v>
      </c>
      <c r="O941" t="s">
        <v>2796</v>
      </c>
      <c r="P941" t="str">
        <f>RIGHT(RIGHT(Table2[[#This Row],[last Updated]],12),4)</f>
        <v xml:space="preserve"> PDT</v>
      </c>
      <c r="Q941" t="s">
        <v>2649</v>
      </c>
    </row>
    <row r="942" spans="1:17" x14ac:dyDescent="0.25">
      <c r="A942" t="s">
        <v>574</v>
      </c>
      <c r="B942" t="str">
        <f>UPPER(Table2[[#This Row],[Brand]])</f>
        <v>BVLGARI</v>
      </c>
      <c r="C942" t="str">
        <f>LOWER(Table2[[#This Row],[Brand]])</f>
        <v>bvlgari</v>
      </c>
      <c r="D942" t="str">
        <f>PROPER(Table2[[#This Row],[Brand]])</f>
        <v>Bvlgari</v>
      </c>
      <c r="E942" t="s">
        <v>15</v>
      </c>
      <c r="F942">
        <v>16.48</v>
      </c>
      <c r="G942" t="s">
        <v>1567</v>
      </c>
      <c r="H94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$16.48</v>
      </c>
      <c r="I942" t="str">
        <f>LEFT(Table2[[#This Row],[priceWithCurrency]],3)</f>
        <v xml:space="preserve">US </v>
      </c>
      <c r="J942">
        <v>10</v>
      </c>
      <c r="K942" t="str">
        <f>IF(Table2[[#This Row],[Available]]&lt;=50, "Less Stock", "Required stock" )</f>
        <v>Less Stock</v>
      </c>
      <c r="L942">
        <f t="shared" si="14"/>
        <v>135.43</v>
      </c>
      <c r="M942" t="s">
        <v>2102</v>
      </c>
      <c r="N942">
        <v>24</v>
      </c>
      <c r="O942" t="s">
        <v>2797</v>
      </c>
      <c r="P942" t="str">
        <f>RIGHT(RIGHT(Table2[[#This Row],[last Updated]],12),4)</f>
        <v xml:space="preserve"> PDT</v>
      </c>
      <c r="Q942" t="s">
        <v>1230</v>
      </c>
    </row>
    <row r="943" spans="1:17" x14ac:dyDescent="0.25">
      <c r="A943" t="s">
        <v>90</v>
      </c>
      <c r="B943" t="str">
        <f>UPPER(Table2[[#This Row],[Brand]])</f>
        <v>ARMAF</v>
      </c>
      <c r="C943" t="str">
        <f>LOWER(Table2[[#This Row],[Brand]])</f>
        <v>armaf</v>
      </c>
      <c r="D943" t="str">
        <f>PROPER(Table2[[#This Row],[Brand]])</f>
        <v>Armaf</v>
      </c>
      <c r="E943" t="s">
        <v>4</v>
      </c>
      <c r="F943">
        <v>85</v>
      </c>
      <c r="G943" t="s">
        <v>42</v>
      </c>
      <c r="H94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$85.00</v>
      </c>
      <c r="I943" t="str">
        <f>LEFT(Table2[[#This Row],[priceWithCurrency]],3)</f>
        <v xml:space="preserve">US </v>
      </c>
      <c r="J943">
        <v>10</v>
      </c>
      <c r="K943" t="str">
        <f>IF(Table2[[#This Row],[Available]]&lt;=50, "Less Stock", "Required stock" )</f>
        <v>Less Stock</v>
      </c>
      <c r="L943">
        <f t="shared" si="14"/>
        <v>116.66999999999999</v>
      </c>
      <c r="M943" t="s">
        <v>1387</v>
      </c>
      <c r="N943">
        <v>10</v>
      </c>
      <c r="O943" t="s">
        <v>2798</v>
      </c>
      <c r="P943" t="str">
        <f>RIGHT(RIGHT(Table2[[#This Row],[last Updated]],12),4)</f>
        <v xml:space="preserve"> PDT</v>
      </c>
      <c r="Q943" t="s">
        <v>36</v>
      </c>
    </row>
    <row r="944" spans="1:17" x14ac:dyDescent="0.25">
      <c r="A944" t="s">
        <v>90</v>
      </c>
      <c r="B944" t="str">
        <f>UPPER(Table2[[#This Row],[Brand]])</f>
        <v>ARMAF</v>
      </c>
      <c r="C944" t="str">
        <f>LOWER(Table2[[#This Row],[Brand]])</f>
        <v>armaf</v>
      </c>
      <c r="D944" t="str">
        <f>PROPER(Table2[[#This Row],[Brand]])</f>
        <v>Armaf</v>
      </c>
      <c r="E944" t="s">
        <v>4</v>
      </c>
      <c r="F944">
        <v>41</v>
      </c>
      <c r="G944" t="s">
        <v>2799</v>
      </c>
      <c r="H94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$41.00</v>
      </c>
      <c r="I944" t="str">
        <f>LEFT(Table2[[#This Row],[priceWithCurrency]],3)</f>
        <v xml:space="preserve">US </v>
      </c>
      <c r="J944">
        <v>8</v>
      </c>
      <c r="K944" t="str">
        <f>IF(Table2[[#This Row],[Available]]&lt;=50, "Less Stock", "Required stock" )</f>
        <v>Less Stock</v>
      </c>
      <c r="L944">
        <f t="shared" si="14"/>
        <v>116.66999999999999</v>
      </c>
      <c r="M944" t="s">
        <v>2800</v>
      </c>
      <c r="N944">
        <v>397</v>
      </c>
      <c r="O944" t="s">
        <v>2801</v>
      </c>
      <c r="P944" t="str">
        <f>RIGHT(RIGHT(Table2[[#This Row],[last Updated]],12),4)</f>
        <v xml:space="preserve"> PDT</v>
      </c>
      <c r="Q944" t="s">
        <v>2649</v>
      </c>
    </row>
    <row r="945" spans="1:17" x14ac:dyDescent="0.25">
      <c r="A945" t="s">
        <v>2802</v>
      </c>
      <c r="B945" t="str">
        <f>UPPER(Table2[[#This Row],[Brand]])</f>
        <v>DANA</v>
      </c>
      <c r="C945" t="str">
        <f>LOWER(Table2[[#This Row],[Brand]])</f>
        <v>dana</v>
      </c>
      <c r="D945" t="str">
        <f>PROPER(Table2[[#This Row],[Brand]])</f>
        <v>Dana</v>
      </c>
      <c r="E945" t="s">
        <v>374</v>
      </c>
      <c r="F945">
        <v>14.99</v>
      </c>
      <c r="G945" t="s">
        <v>2803</v>
      </c>
      <c r="H94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$14.99</v>
      </c>
      <c r="I945" t="str">
        <f>LEFT(Table2[[#This Row],[priceWithCurrency]],3)</f>
        <v xml:space="preserve">US </v>
      </c>
      <c r="J945">
        <v>10</v>
      </c>
      <c r="K945" t="str">
        <f>IF(Table2[[#This Row],[Available]]&lt;=50, "Less Stock", "Required stock" )</f>
        <v>Less Stock</v>
      </c>
      <c r="L945">
        <f t="shared" si="14"/>
        <v>116.66999999999999</v>
      </c>
      <c r="M945" t="s">
        <v>2804</v>
      </c>
      <c r="N945">
        <v>647</v>
      </c>
      <c r="O945" t="s">
        <v>2805</v>
      </c>
      <c r="P945" t="str">
        <f>RIGHT(RIGHT(Table2[[#This Row],[last Updated]],12),4)</f>
        <v xml:space="preserve"> PST</v>
      </c>
      <c r="Q945" t="s">
        <v>1168</v>
      </c>
    </row>
    <row r="946" spans="1:17" x14ac:dyDescent="0.25">
      <c r="A946" t="s">
        <v>95</v>
      </c>
      <c r="B946" t="str">
        <f>UPPER(Table2[[#This Row],[Brand]])</f>
        <v>CAROLINA HERRERA</v>
      </c>
      <c r="C946" t="str">
        <f>LOWER(Table2[[#This Row],[Brand]])</f>
        <v>carolina herrera</v>
      </c>
      <c r="D946" t="str">
        <f>PROPER(Table2[[#This Row],[Brand]])</f>
        <v>Carolina Herrera</v>
      </c>
      <c r="E946" t="s">
        <v>15</v>
      </c>
      <c r="F946">
        <v>66.52</v>
      </c>
      <c r="G946" t="s">
        <v>2806</v>
      </c>
      <c r="H94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$66.52</v>
      </c>
      <c r="I946" t="str">
        <f>LEFT(Table2[[#This Row],[priceWithCurrency]],3)</f>
        <v xml:space="preserve">US </v>
      </c>
      <c r="J946">
        <v>10</v>
      </c>
      <c r="K946" t="str">
        <f>IF(Table2[[#This Row],[Available]]&lt;=50, "Less Stock", "Required stock" )</f>
        <v>Less Stock</v>
      </c>
      <c r="L946">
        <f t="shared" si="14"/>
        <v>0</v>
      </c>
      <c r="M946" t="s">
        <v>2807</v>
      </c>
      <c r="N946">
        <v>1963</v>
      </c>
      <c r="O946" t="s">
        <v>2808</v>
      </c>
      <c r="P946" t="str">
        <f>RIGHT(RIGHT(Table2[[#This Row],[last Updated]],12),4)</f>
        <v xml:space="preserve"> PDT</v>
      </c>
      <c r="Q946" t="s">
        <v>108</v>
      </c>
    </row>
    <row r="947" spans="1:17" x14ac:dyDescent="0.25">
      <c r="A947" t="s">
        <v>20</v>
      </c>
      <c r="B947" t="str">
        <f>UPPER(Table2[[#This Row],[Brand]])</f>
        <v>GIORGIO ARMANI</v>
      </c>
      <c r="C947" t="str">
        <f>LOWER(Table2[[#This Row],[Brand]])</f>
        <v>giorgio armani</v>
      </c>
      <c r="D947" t="str">
        <f>PROPER(Table2[[#This Row],[Brand]])</f>
        <v>Giorgio Armani</v>
      </c>
      <c r="E947" t="s">
        <v>4</v>
      </c>
      <c r="F947">
        <v>24</v>
      </c>
      <c r="G947" t="s">
        <v>2809</v>
      </c>
      <c r="H94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$24.00</v>
      </c>
      <c r="I947" t="str">
        <f>LEFT(Table2[[#This Row],[priceWithCurrency]],3)</f>
        <v xml:space="preserve">US </v>
      </c>
      <c r="J947">
        <v>3</v>
      </c>
      <c r="K947" t="str">
        <f>IF(Table2[[#This Row],[Available]]&lt;=50, "Less Stock", "Required stock" )</f>
        <v>Less Stock</v>
      </c>
      <c r="L947">
        <f t="shared" si="14"/>
        <v>96.189999999999984</v>
      </c>
      <c r="M947" t="s">
        <v>2810</v>
      </c>
      <c r="N947">
        <v>2</v>
      </c>
      <c r="P947" t="str">
        <f>RIGHT(RIGHT(Table2[[#This Row],[last Updated]],12),4)</f>
        <v/>
      </c>
      <c r="Q947" t="s">
        <v>2811</v>
      </c>
    </row>
    <row r="948" spans="1:17" x14ac:dyDescent="0.25">
      <c r="A948" t="s">
        <v>485</v>
      </c>
      <c r="B948" t="str">
        <f>UPPER(Table2[[#This Row],[Brand]])</f>
        <v>DIESEL</v>
      </c>
      <c r="C948" t="str">
        <f>LOWER(Table2[[#This Row],[Brand]])</f>
        <v>diesel</v>
      </c>
      <c r="D948" t="str">
        <f>PROPER(Table2[[#This Row],[Brand]])</f>
        <v>Diesel</v>
      </c>
      <c r="E948" t="s">
        <v>15</v>
      </c>
      <c r="F948">
        <v>26.99</v>
      </c>
      <c r="G948" t="s">
        <v>2812</v>
      </c>
      <c r="H94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$26.99</v>
      </c>
      <c r="I948" t="str">
        <f>LEFT(Table2[[#This Row],[priceWithCurrency]],3)</f>
        <v xml:space="preserve">US </v>
      </c>
      <c r="J948">
        <v>8</v>
      </c>
      <c r="K948" t="str">
        <f>IF(Table2[[#This Row],[Available]]&lt;=50, "Less Stock", "Required stock" )</f>
        <v>Less Stock</v>
      </c>
      <c r="L948">
        <f t="shared" si="14"/>
        <v>96.189999999999984</v>
      </c>
      <c r="M948" t="s">
        <v>2813</v>
      </c>
      <c r="N948">
        <v>21</v>
      </c>
      <c r="O948" t="s">
        <v>2814</v>
      </c>
      <c r="P948" t="str">
        <f>RIGHT(RIGHT(Table2[[#This Row],[last Updated]],12),4)</f>
        <v xml:space="preserve"> PDT</v>
      </c>
      <c r="Q948" t="s">
        <v>926</v>
      </c>
    </row>
    <row r="949" spans="1:17" x14ac:dyDescent="0.25">
      <c r="A949" t="s">
        <v>2815</v>
      </c>
      <c r="B949" t="str">
        <f>UPPER(Table2[[#This Row],[Brand]])</f>
        <v>DVYNE FRAGRANCES</v>
      </c>
      <c r="C949" t="str">
        <f>LOWER(Table2[[#This Row],[Brand]])</f>
        <v>dvyne fragrances</v>
      </c>
      <c r="D949" t="str">
        <f>PROPER(Table2[[#This Row],[Brand]])</f>
        <v>Dvyne Fragrances</v>
      </c>
      <c r="E949" t="s">
        <v>2816</v>
      </c>
      <c r="F949">
        <v>8</v>
      </c>
      <c r="G949" t="s">
        <v>2817</v>
      </c>
      <c r="H94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$8.00</v>
      </c>
      <c r="I949" t="str">
        <f>LEFT(Table2[[#This Row],[priceWithCurrency]],3)</f>
        <v xml:space="preserve">US </v>
      </c>
      <c r="J949">
        <v>10</v>
      </c>
      <c r="K949" t="str">
        <f>IF(Table2[[#This Row],[Available]]&lt;=50, "Less Stock", "Required stock" )</f>
        <v>Less Stock</v>
      </c>
      <c r="L949">
        <f t="shared" si="14"/>
        <v>39.99</v>
      </c>
      <c r="M949" t="s">
        <v>2818</v>
      </c>
      <c r="N949">
        <v>1113</v>
      </c>
      <c r="O949" t="s">
        <v>2819</v>
      </c>
      <c r="P949" t="str">
        <f>RIGHT(RIGHT(Table2[[#This Row],[last Updated]],12),4)</f>
        <v xml:space="preserve"> PDT</v>
      </c>
      <c r="Q949" t="s">
        <v>1503</v>
      </c>
    </row>
    <row r="950" spans="1:17" x14ac:dyDescent="0.25">
      <c r="A950" t="s">
        <v>586</v>
      </c>
      <c r="B950" t="str">
        <f>UPPER(Table2[[#This Row],[Brand]])</f>
        <v>PARFUMS DE MARLY</v>
      </c>
      <c r="C950" t="str">
        <f>LOWER(Table2[[#This Row],[Brand]])</f>
        <v>parfums de marly</v>
      </c>
      <c r="D950" t="str">
        <f>PROPER(Table2[[#This Row],[Brand]])</f>
        <v>Parfums De Marly</v>
      </c>
      <c r="E950" t="s">
        <v>127</v>
      </c>
      <c r="F950">
        <v>12</v>
      </c>
      <c r="G950" t="s">
        <v>2373</v>
      </c>
      <c r="H95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$12.00</v>
      </c>
      <c r="I950" t="str">
        <f>LEFT(Table2[[#This Row],[priceWithCurrency]],3)</f>
        <v xml:space="preserve">US </v>
      </c>
      <c r="J950">
        <v>10</v>
      </c>
      <c r="K950" t="str">
        <f>IF(Table2[[#This Row],[Available]]&lt;=50, "Less Stock", "Required stock" )</f>
        <v>Less Stock</v>
      </c>
      <c r="L950">
        <f t="shared" si="14"/>
        <v>55.47</v>
      </c>
      <c r="M950" t="s">
        <v>1110</v>
      </c>
      <c r="N950">
        <v>19</v>
      </c>
      <c r="P950" t="str">
        <f>RIGHT(RIGHT(Table2[[#This Row],[last Updated]],12),4)</f>
        <v/>
      </c>
      <c r="Q950" t="s">
        <v>468</v>
      </c>
    </row>
    <row r="951" spans="1:17" x14ac:dyDescent="0.25">
      <c r="A951" t="s">
        <v>117</v>
      </c>
      <c r="B951" t="str">
        <f>UPPER(Table2[[#This Row],[Brand]])</f>
        <v>AFNAN</v>
      </c>
      <c r="C951" t="str">
        <f>LOWER(Table2[[#This Row],[Brand]])</f>
        <v>afnan</v>
      </c>
      <c r="D951" t="str">
        <f>PROPER(Table2[[#This Row],[Brand]])</f>
        <v>Afnan</v>
      </c>
      <c r="E951" t="s">
        <v>715</v>
      </c>
      <c r="F951">
        <v>24.35</v>
      </c>
      <c r="G951" t="s">
        <v>2611</v>
      </c>
      <c r="H95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$24.35</v>
      </c>
      <c r="I951" t="str">
        <f>LEFT(Table2[[#This Row],[priceWithCurrency]],3)</f>
        <v xml:space="preserve">US </v>
      </c>
      <c r="J951">
        <v>110</v>
      </c>
      <c r="K951" t="str">
        <f>IF(Table2[[#This Row],[Available]]&lt;=50, "Less Stock", "Required stock" )</f>
        <v>Required stock</v>
      </c>
      <c r="L951">
        <f t="shared" si="14"/>
        <v>55.47</v>
      </c>
      <c r="M951" t="s">
        <v>2820</v>
      </c>
      <c r="N951">
        <v>692</v>
      </c>
      <c r="O951" t="s">
        <v>2821</v>
      </c>
      <c r="P951" t="str">
        <f>RIGHT(RIGHT(Table2[[#This Row],[last Updated]],12),4)</f>
        <v xml:space="preserve"> PDT</v>
      </c>
      <c r="Q951" t="s">
        <v>121</v>
      </c>
    </row>
    <row r="952" spans="1:17" x14ac:dyDescent="0.25">
      <c r="A952" t="s">
        <v>2101</v>
      </c>
      <c r="B952" t="str">
        <f>UPPER(Table2[[#This Row],[Brand]])</f>
        <v>LAPIDUS</v>
      </c>
      <c r="C952" t="str">
        <f>LOWER(Table2[[#This Row],[Brand]])</f>
        <v>lapidus</v>
      </c>
      <c r="D952" t="str">
        <f>PROPER(Table2[[#This Row],[Brand]])</f>
        <v>Lapidus</v>
      </c>
      <c r="E952" t="s">
        <v>15</v>
      </c>
      <c r="F952">
        <v>20.079999999999998</v>
      </c>
      <c r="G952" t="s">
        <v>2822</v>
      </c>
      <c r="H95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$20.08</v>
      </c>
      <c r="I952" t="str">
        <f>LEFT(Table2[[#This Row],[priceWithCurrency]],3)</f>
        <v xml:space="preserve">US </v>
      </c>
      <c r="J952">
        <v>29</v>
      </c>
      <c r="K952" t="str">
        <f>IF(Table2[[#This Row],[Available]]&lt;=50, "Less Stock", "Required stock" )</f>
        <v>Less Stock</v>
      </c>
      <c r="L952">
        <f t="shared" si="14"/>
        <v>55.47</v>
      </c>
      <c r="M952" t="s">
        <v>2823</v>
      </c>
      <c r="N952">
        <v>518</v>
      </c>
      <c r="O952" t="s">
        <v>2824</v>
      </c>
      <c r="P952" t="str">
        <f>RIGHT(RIGHT(Table2[[#This Row],[last Updated]],12),4)</f>
        <v xml:space="preserve"> PDT</v>
      </c>
      <c r="Q952" t="s">
        <v>121</v>
      </c>
    </row>
    <row r="953" spans="1:17" x14ac:dyDescent="0.25">
      <c r="A953" t="s">
        <v>2825</v>
      </c>
      <c r="B953" t="str">
        <f>UPPER(Table2[[#This Row],[Brand]])</f>
        <v>ARABIAN OUD</v>
      </c>
      <c r="C953" t="str">
        <f>LOWER(Table2[[#This Row],[Brand]])</f>
        <v>arabian oud</v>
      </c>
      <c r="D953" t="str">
        <f>PROPER(Table2[[#This Row],[Brand]])</f>
        <v>Arabian Oud</v>
      </c>
      <c r="E953" t="s">
        <v>26</v>
      </c>
      <c r="F953">
        <v>99.63</v>
      </c>
      <c r="G953" t="s">
        <v>2826</v>
      </c>
      <c r="H95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$99.63</v>
      </c>
      <c r="I953" t="str">
        <f>LEFT(Table2[[#This Row],[priceWithCurrency]],3)</f>
        <v xml:space="preserve">US </v>
      </c>
      <c r="J953">
        <v>3</v>
      </c>
      <c r="K953" t="str">
        <f>IF(Table2[[#This Row],[Available]]&lt;=50, "Less Stock", "Required stock" )</f>
        <v>Less Stock</v>
      </c>
      <c r="L953">
        <f t="shared" si="14"/>
        <v>27.479999999999997</v>
      </c>
      <c r="M953" t="s">
        <v>2094</v>
      </c>
      <c r="N953">
        <v>13</v>
      </c>
      <c r="O953" t="s">
        <v>2827</v>
      </c>
      <c r="P953" t="str">
        <f>RIGHT(RIGHT(Table2[[#This Row],[last Updated]],12),4)</f>
        <v xml:space="preserve"> PDT</v>
      </c>
      <c r="Q953" t="s">
        <v>30</v>
      </c>
    </row>
    <row r="954" spans="1:17" x14ac:dyDescent="0.25">
      <c r="A954" t="s">
        <v>1329</v>
      </c>
      <c r="B954" t="str">
        <f>UPPER(Table2[[#This Row],[Brand]])</f>
        <v>EMPORIO ARMANI</v>
      </c>
      <c r="C954" t="str">
        <f>LOWER(Table2[[#This Row],[Brand]])</f>
        <v>emporio armani</v>
      </c>
      <c r="D954" t="str">
        <f>PROPER(Table2[[#This Row],[Brand]])</f>
        <v>Emporio Armani</v>
      </c>
      <c r="E954" t="s">
        <v>32</v>
      </c>
      <c r="F954">
        <v>74.989999999999995</v>
      </c>
      <c r="G954" t="s">
        <v>2427</v>
      </c>
      <c r="H95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$74.99</v>
      </c>
      <c r="I954" t="str">
        <f>LEFT(Table2[[#This Row],[priceWithCurrency]],3)</f>
        <v xml:space="preserve">US </v>
      </c>
      <c r="J954">
        <v>10</v>
      </c>
      <c r="K954" t="str">
        <f>IF(Table2[[#This Row],[Available]]&lt;=50, "Less Stock", "Required stock" )</f>
        <v>Less Stock</v>
      </c>
      <c r="L954">
        <f t="shared" si="14"/>
        <v>27.479999999999997</v>
      </c>
      <c r="M954" t="s">
        <v>2828</v>
      </c>
      <c r="N954">
        <v>82</v>
      </c>
      <c r="O954" t="s">
        <v>2829</v>
      </c>
      <c r="P954" t="str">
        <f>RIGHT(RIGHT(Table2[[#This Row],[last Updated]],12),4)</f>
        <v xml:space="preserve"> PDT</v>
      </c>
      <c r="Q954" t="s">
        <v>131</v>
      </c>
    </row>
    <row r="955" spans="1:17" x14ac:dyDescent="0.25">
      <c r="A955" t="s">
        <v>90</v>
      </c>
      <c r="B955" t="str">
        <f>UPPER(Table2[[#This Row],[Brand]])</f>
        <v>ARMAF</v>
      </c>
      <c r="C955" t="str">
        <f>LOWER(Table2[[#This Row],[Brand]])</f>
        <v>armaf</v>
      </c>
      <c r="D955" t="str">
        <f>PROPER(Table2[[#This Row],[Brand]])</f>
        <v>Armaf</v>
      </c>
      <c r="E955" t="s">
        <v>4</v>
      </c>
      <c r="F955">
        <v>23.62</v>
      </c>
      <c r="G955" t="s">
        <v>2830</v>
      </c>
      <c r="H95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$23.62</v>
      </c>
      <c r="I955" t="str">
        <f>LEFT(Table2[[#This Row],[priceWithCurrency]],3)</f>
        <v xml:space="preserve">US </v>
      </c>
      <c r="J955">
        <v>130</v>
      </c>
      <c r="K955" t="str">
        <f>IF(Table2[[#This Row],[Available]]&lt;=50, "Less Stock", "Required stock" )</f>
        <v>Required stock</v>
      </c>
      <c r="L955">
        <f t="shared" si="14"/>
        <v>27.479999999999997</v>
      </c>
      <c r="M955" t="s">
        <v>2831</v>
      </c>
      <c r="N955">
        <v>415</v>
      </c>
      <c r="O955" t="s">
        <v>2832</v>
      </c>
      <c r="P955" t="str">
        <f>RIGHT(RIGHT(Table2[[#This Row],[last Updated]],12),4)</f>
        <v xml:space="preserve"> PDT</v>
      </c>
      <c r="Q955" t="s">
        <v>121</v>
      </c>
    </row>
    <row r="956" spans="1:17" x14ac:dyDescent="0.25">
      <c r="A956" t="s">
        <v>2481</v>
      </c>
      <c r="B956" t="str">
        <f>UPPER(Table2[[#This Row],[Brand]])</f>
        <v>PERRY ELLIS</v>
      </c>
      <c r="C956" t="str">
        <f>LOWER(Table2[[#This Row],[Brand]])</f>
        <v>perry ellis</v>
      </c>
      <c r="D956" t="str">
        <f>PROPER(Table2[[#This Row],[Brand]])</f>
        <v>Perry Ellis</v>
      </c>
      <c r="E956" t="s">
        <v>15</v>
      </c>
      <c r="F956">
        <v>40.130000000000003</v>
      </c>
      <c r="G956" t="s">
        <v>2833</v>
      </c>
      <c r="H95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$40.13</v>
      </c>
      <c r="I956" t="str">
        <f>LEFT(Table2[[#This Row],[priceWithCurrency]],3)</f>
        <v xml:space="preserve">US </v>
      </c>
      <c r="J956">
        <v>9</v>
      </c>
      <c r="K956" t="str">
        <f>IF(Table2[[#This Row],[Available]]&lt;=50, "Less Stock", "Required stock" )</f>
        <v>Less Stock</v>
      </c>
      <c r="L956">
        <f t="shared" si="14"/>
        <v>27.479999999999997</v>
      </c>
      <c r="M956" t="s">
        <v>2834</v>
      </c>
      <c r="N956">
        <v>2703</v>
      </c>
      <c r="O956" t="s">
        <v>2835</v>
      </c>
      <c r="P956" t="str">
        <f>RIGHT(RIGHT(Table2[[#This Row],[last Updated]],12),4)</f>
        <v xml:space="preserve"> PDT</v>
      </c>
      <c r="Q956" t="s">
        <v>108</v>
      </c>
    </row>
    <row r="957" spans="1:17" x14ac:dyDescent="0.25">
      <c r="A957" t="s">
        <v>56</v>
      </c>
      <c r="B957" t="str">
        <f>UPPER(Table2[[#This Row],[Brand]])</f>
        <v>RALPH LAUREN</v>
      </c>
      <c r="C957" t="str">
        <f>LOWER(Table2[[#This Row],[Brand]])</f>
        <v>ralph lauren</v>
      </c>
      <c r="D957" t="str">
        <f>PROPER(Table2[[#This Row],[Brand]])</f>
        <v>Ralph Lauren</v>
      </c>
      <c r="E957" t="s">
        <v>15</v>
      </c>
      <c r="F957">
        <v>28.99</v>
      </c>
      <c r="G957" t="s">
        <v>547</v>
      </c>
      <c r="H95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$28.99</v>
      </c>
      <c r="I957" t="str">
        <f>LEFT(Table2[[#This Row],[priceWithCurrency]],3)</f>
        <v xml:space="preserve">US </v>
      </c>
      <c r="J957">
        <v>10</v>
      </c>
      <c r="K957" t="str">
        <f>IF(Table2[[#This Row],[Available]]&lt;=50, "Less Stock", "Required stock" )</f>
        <v>Less Stock</v>
      </c>
      <c r="L957">
        <f t="shared" si="14"/>
        <v>0</v>
      </c>
      <c r="M957" t="s">
        <v>2836</v>
      </c>
      <c r="N957">
        <v>180</v>
      </c>
      <c r="O957" t="s">
        <v>2837</v>
      </c>
      <c r="P957" t="str">
        <f>RIGHT(RIGHT(Table2[[#This Row],[last Updated]],12),4)</f>
        <v xml:space="preserve"> PDT</v>
      </c>
      <c r="Q957" t="s">
        <v>89</v>
      </c>
    </row>
    <row r="958" spans="1:17" x14ac:dyDescent="0.25">
      <c r="A958" t="s">
        <v>525</v>
      </c>
      <c r="B958" t="str">
        <f>UPPER(Table2[[#This Row],[Brand]])</f>
        <v>ZARA</v>
      </c>
      <c r="C958" t="str">
        <f>LOWER(Table2[[#This Row],[Brand]])</f>
        <v>zara</v>
      </c>
      <c r="D958" t="str">
        <f>PROPER(Table2[[#This Row],[Brand]])</f>
        <v>Zara</v>
      </c>
      <c r="E958" t="s">
        <v>15</v>
      </c>
      <c r="F958">
        <v>15</v>
      </c>
      <c r="G958" t="s">
        <v>719</v>
      </c>
      <c r="H95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$15.00</v>
      </c>
      <c r="I958" t="str">
        <f>LEFT(Table2[[#This Row],[priceWithCurrency]],3)</f>
        <v xml:space="preserve">US </v>
      </c>
      <c r="J958">
        <v>2</v>
      </c>
      <c r="K958" t="str">
        <f>IF(Table2[[#This Row],[Available]]&lt;=50, "Less Stock", "Required stock" )</f>
        <v>Less Stock</v>
      </c>
      <c r="L958">
        <f t="shared" si="14"/>
        <v>0</v>
      </c>
      <c r="M958" t="s">
        <v>817</v>
      </c>
      <c r="N958">
        <v>3</v>
      </c>
      <c r="O958" t="s">
        <v>2838</v>
      </c>
      <c r="P958" t="str">
        <f>RIGHT(RIGHT(Table2[[#This Row],[last Updated]],12),4)</f>
        <v xml:space="preserve"> PDT</v>
      </c>
      <c r="Q958" t="s">
        <v>36</v>
      </c>
    </row>
    <row r="959" spans="1:17" x14ac:dyDescent="0.25">
      <c r="A959" t="s">
        <v>2839</v>
      </c>
      <c r="B959" t="str">
        <f>UPPER(Table2[[#This Row],[Brand]])</f>
        <v>DAVID BECKHAM</v>
      </c>
      <c r="C959" t="str">
        <f>LOWER(Table2[[#This Row],[Brand]])</f>
        <v>david beckham</v>
      </c>
      <c r="D959" t="str">
        <f>PROPER(Table2[[#This Row],[Brand]])</f>
        <v>David Beckham</v>
      </c>
      <c r="E959" t="s">
        <v>15</v>
      </c>
      <c r="F959">
        <v>37</v>
      </c>
      <c r="G959" t="s">
        <v>2840</v>
      </c>
      <c r="H95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$37.00</v>
      </c>
      <c r="I959" t="str">
        <f>LEFT(Table2[[#This Row],[priceWithCurrency]],3)</f>
        <v>C $</v>
      </c>
      <c r="J959">
        <v>10</v>
      </c>
      <c r="K959" t="str">
        <f>IF(Table2[[#This Row],[Available]]&lt;=50, "Less Stock", "Required stock" )</f>
        <v>Less Stock</v>
      </c>
      <c r="L959">
        <f t="shared" si="14"/>
        <v>0</v>
      </c>
      <c r="M959" t="s">
        <v>2793</v>
      </c>
      <c r="N959">
        <v>60</v>
      </c>
      <c r="O959" t="s">
        <v>2841</v>
      </c>
      <c r="P959" t="str">
        <f>RIGHT(RIGHT(Table2[[#This Row],[last Updated]],12),4)</f>
        <v xml:space="preserve"> PDT</v>
      </c>
      <c r="Q959" t="s">
        <v>1213</v>
      </c>
    </row>
    <row r="960" spans="1:17" x14ac:dyDescent="0.25">
      <c r="A960" t="s">
        <v>1496</v>
      </c>
      <c r="B960" t="str">
        <f>UPPER(Table2[[#This Row],[Brand]])</f>
        <v>AL HARAMAIN</v>
      </c>
      <c r="C960" t="str">
        <f>LOWER(Table2[[#This Row],[Brand]])</f>
        <v>al haramain</v>
      </c>
      <c r="D960" t="str">
        <f>PROPER(Table2[[#This Row],[Brand]])</f>
        <v>Al Haramain</v>
      </c>
      <c r="E960" t="s">
        <v>4</v>
      </c>
      <c r="F960">
        <v>31.98</v>
      </c>
      <c r="G960" t="s">
        <v>2842</v>
      </c>
      <c r="H96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$31.98</v>
      </c>
      <c r="I960" t="str">
        <f>LEFT(Table2[[#This Row],[priceWithCurrency]],3)</f>
        <v xml:space="preserve">US </v>
      </c>
      <c r="J960">
        <v>10</v>
      </c>
      <c r="K960" t="str">
        <f>IF(Table2[[#This Row],[Available]]&lt;=50, "Less Stock", "Required stock" )</f>
        <v>Less Stock</v>
      </c>
      <c r="L960">
        <f t="shared" si="14"/>
        <v>0</v>
      </c>
      <c r="M960" t="s">
        <v>720</v>
      </c>
      <c r="N960">
        <v>12</v>
      </c>
      <c r="O960" t="s">
        <v>2843</v>
      </c>
      <c r="P960" t="str">
        <f>RIGHT(RIGHT(Table2[[#This Row],[last Updated]],12),4)</f>
        <v xml:space="preserve"> PDT</v>
      </c>
      <c r="Q960" t="s">
        <v>973</v>
      </c>
    </row>
    <row r="961" spans="1:17" x14ac:dyDescent="0.25">
      <c r="A961" t="s">
        <v>170</v>
      </c>
      <c r="B961" t="str">
        <f>UPPER(Table2[[#This Row],[Brand]])</f>
        <v>RASASI</v>
      </c>
      <c r="C961" t="str">
        <f>LOWER(Table2[[#This Row],[Brand]])</f>
        <v>rasasi</v>
      </c>
      <c r="D961" t="str">
        <f>PROPER(Table2[[#This Row],[Brand]])</f>
        <v>Rasasi</v>
      </c>
      <c r="E961" t="s">
        <v>4</v>
      </c>
      <c r="F961">
        <v>78</v>
      </c>
      <c r="G961" t="s">
        <v>2844</v>
      </c>
      <c r="H96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$78.00</v>
      </c>
      <c r="I961" t="str">
        <f>LEFT(Table2[[#This Row],[priceWithCurrency]],3)</f>
        <v xml:space="preserve">US </v>
      </c>
      <c r="J961">
        <v>6</v>
      </c>
      <c r="K961" t="str">
        <f>IF(Table2[[#This Row],[Available]]&lt;=50, "Less Stock", "Required stock" )</f>
        <v>Less Stock</v>
      </c>
      <c r="L961">
        <f t="shared" si="14"/>
        <v>0</v>
      </c>
      <c r="M961" t="s">
        <v>2845</v>
      </c>
      <c r="N961">
        <v>27</v>
      </c>
      <c r="O961" t="s">
        <v>2846</v>
      </c>
      <c r="P961" t="str">
        <f>RIGHT(RIGHT(Table2[[#This Row],[last Updated]],12),4)</f>
        <v xml:space="preserve"> PDT</v>
      </c>
      <c r="Q961" t="s">
        <v>2847</v>
      </c>
    </row>
    <row r="962" spans="1:17" x14ac:dyDescent="0.25">
      <c r="A962" t="s">
        <v>2067</v>
      </c>
      <c r="B962" t="str">
        <f>UPPER(Table2[[#This Row],[Brand]])</f>
        <v>STERLING</v>
      </c>
      <c r="C962" t="str">
        <f>LOWER(Table2[[#This Row],[Brand]])</f>
        <v>sterling</v>
      </c>
      <c r="D962" t="str">
        <f>PROPER(Table2[[#This Row],[Brand]])</f>
        <v>Sterling</v>
      </c>
      <c r="E962" t="s">
        <v>276</v>
      </c>
      <c r="F962">
        <v>53.42</v>
      </c>
      <c r="G962" t="s">
        <v>2848</v>
      </c>
      <c r="H96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$53.42</v>
      </c>
      <c r="I962" t="str">
        <f>LEFT(Table2[[#This Row],[priceWithCurrency]],3)</f>
        <v xml:space="preserve">US </v>
      </c>
      <c r="J962">
        <v>10</v>
      </c>
      <c r="K962" t="str">
        <f>IF(Table2[[#This Row],[Available]]&lt;=50, "Less Stock", "Required stock" )</f>
        <v>Less Stock</v>
      </c>
      <c r="L962">
        <f t="shared" ref="L962:L1001" si="15">SUMIF(E962:E1042,E1006,F1006:F1961)</f>
        <v>0</v>
      </c>
      <c r="M962" t="s">
        <v>1180</v>
      </c>
      <c r="N962">
        <v>4</v>
      </c>
      <c r="O962" t="s">
        <v>2849</v>
      </c>
      <c r="P962" t="str">
        <f>RIGHT(RIGHT(Table2[[#This Row],[last Updated]],12),4)</f>
        <v xml:space="preserve"> PDT</v>
      </c>
      <c r="Q962" t="s">
        <v>226</v>
      </c>
    </row>
    <row r="963" spans="1:17" x14ac:dyDescent="0.25">
      <c r="A963" t="s">
        <v>2850</v>
      </c>
      <c r="B963" t="str">
        <f>UPPER(Table2[[#This Row],[Brand]])</f>
        <v>FALIC FASHION GROUP</v>
      </c>
      <c r="C963" t="str">
        <f>LOWER(Table2[[#This Row],[Brand]])</f>
        <v>falic fashion group</v>
      </c>
      <c r="D963" t="str">
        <f>PROPER(Table2[[#This Row],[Brand]])</f>
        <v>Falic Fashion Group</v>
      </c>
      <c r="E963" t="s">
        <v>15</v>
      </c>
      <c r="F963">
        <v>29.98</v>
      </c>
      <c r="G963" t="s">
        <v>2851</v>
      </c>
      <c r="H96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$29.98</v>
      </c>
      <c r="I963" t="str">
        <f>LEFT(Table2[[#This Row],[priceWithCurrency]],3)</f>
        <v xml:space="preserve">US </v>
      </c>
      <c r="J963">
        <v>7</v>
      </c>
      <c r="K963" t="str">
        <f>IF(Table2[[#This Row],[Available]]&lt;=50, "Less Stock", "Required stock" )</f>
        <v>Less Stock</v>
      </c>
      <c r="L963">
        <f t="shared" si="15"/>
        <v>0</v>
      </c>
      <c r="M963" t="s">
        <v>2852</v>
      </c>
      <c r="N963">
        <v>14</v>
      </c>
      <c r="O963" t="s">
        <v>2853</v>
      </c>
      <c r="P963" t="str">
        <f>RIGHT(RIGHT(Table2[[#This Row],[last Updated]],12),4)</f>
        <v xml:space="preserve"> PDT</v>
      </c>
      <c r="Q963" t="s">
        <v>2854</v>
      </c>
    </row>
    <row r="964" spans="1:17" x14ac:dyDescent="0.25">
      <c r="A964" t="s">
        <v>705</v>
      </c>
      <c r="B964" t="str">
        <f>UPPER(Table2[[#This Row],[Brand]])</f>
        <v>HUGO BOSS</v>
      </c>
      <c r="C964" t="str">
        <f>LOWER(Table2[[#This Row],[Brand]])</f>
        <v>hugo boss</v>
      </c>
      <c r="D964" t="str">
        <f>PROPER(Table2[[#This Row],[Brand]])</f>
        <v>Hugo Boss</v>
      </c>
      <c r="E964" t="s">
        <v>15</v>
      </c>
      <c r="F964">
        <v>47.26</v>
      </c>
      <c r="G964" t="s">
        <v>2855</v>
      </c>
      <c r="H96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$47.26</v>
      </c>
      <c r="I964" t="str">
        <f>LEFT(Table2[[#This Row],[priceWithCurrency]],3)</f>
        <v xml:space="preserve">US </v>
      </c>
      <c r="J964">
        <v>88</v>
      </c>
      <c r="K964" t="str">
        <f>IF(Table2[[#This Row],[Available]]&lt;=50, "Less Stock", "Required stock" )</f>
        <v>Required stock</v>
      </c>
      <c r="L964">
        <f t="shared" si="15"/>
        <v>0</v>
      </c>
      <c r="M964" t="s">
        <v>2856</v>
      </c>
      <c r="N964">
        <v>52</v>
      </c>
      <c r="O964" t="s">
        <v>2857</v>
      </c>
      <c r="P964" t="str">
        <f>RIGHT(RIGHT(Table2[[#This Row],[last Updated]],12),4)</f>
        <v xml:space="preserve"> PDT</v>
      </c>
      <c r="Q964" t="s">
        <v>121</v>
      </c>
    </row>
    <row r="965" spans="1:17" x14ac:dyDescent="0.25">
      <c r="A965" t="s">
        <v>20</v>
      </c>
      <c r="B965" t="str">
        <f>UPPER(Table2[[#This Row],[Brand]])</f>
        <v>GIORGIO ARMANI</v>
      </c>
      <c r="C965" t="str">
        <f>LOWER(Table2[[#This Row],[Brand]])</f>
        <v>giorgio armani</v>
      </c>
      <c r="D965" t="str">
        <f>PROPER(Table2[[#This Row],[Brand]])</f>
        <v>Giorgio Armani</v>
      </c>
      <c r="E965" t="s">
        <v>4</v>
      </c>
      <c r="F965">
        <v>94.99</v>
      </c>
      <c r="G965" t="s">
        <v>823</v>
      </c>
      <c r="H96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$94.99</v>
      </c>
      <c r="I965" t="str">
        <f>LEFT(Table2[[#This Row],[priceWithCurrency]],3)</f>
        <v xml:space="preserve">US </v>
      </c>
      <c r="J965">
        <v>10</v>
      </c>
      <c r="K965" t="str">
        <f>IF(Table2[[#This Row],[Available]]&lt;=50, "Less Stock", "Required stock" )</f>
        <v>Less Stock</v>
      </c>
      <c r="L965">
        <f t="shared" si="15"/>
        <v>0</v>
      </c>
      <c r="M965" t="s">
        <v>2858</v>
      </c>
      <c r="N965">
        <v>420</v>
      </c>
      <c r="O965" t="s">
        <v>2859</v>
      </c>
      <c r="P965" t="str">
        <f>RIGHT(RIGHT(Table2[[#This Row],[last Updated]],12),4)</f>
        <v xml:space="preserve"> PDT</v>
      </c>
      <c r="Q965" t="s">
        <v>131</v>
      </c>
    </row>
    <row r="966" spans="1:17" x14ac:dyDescent="0.25">
      <c r="A966" t="s">
        <v>690</v>
      </c>
      <c r="B966" t="str">
        <f>UPPER(Table2[[#This Row],[Brand]])</f>
        <v>PRADA</v>
      </c>
      <c r="C966" t="str">
        <f>LOWER(Table2[[#This Row],[Brand]])</f>
        <v>prada</v>
      </c>
      <c r="D966" t="str">
        <f>PROPER(Table2[[#This Row],[Brand]])</f>
        <v>Prada</v>
      </c>
      <c r="E966" t="s">
        <v>493</v>
      </c>
      <c r="F966">
        <v>76.650000000000006</v>
      </c>
      <c r="G966" t="s">
        <v>2860</v>
      </c>
      <c r="H96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$76.65</v>
      </c>
      <c r="I966" t="str">
        <f>LEFT(Table2[[#This Row],[priceWithCurrency]],3)</f>
        <v xml:space="preserve">US </v>
      </c>
      <c r="J966">
        <v>10</v>
      </c>
      <c r="K966" t="str">
        <f>IF(Table2[[#This Row],[Available]]&lt;=50, "Less Stock", "Required stock" )</f>
        <v>Less Stock</v>
      </c>
      <c r="L966">
        <f t="shared" si="15"/>
        <v>0</v>
      </c>
      <c r="M966" t="s">
        <v>354</v>
      </c>
      <c r="N966">
        <v>30</v>
      </c>
      <c r="O966" t="s">
        <v>2861</v>
      </c>
      <c r="P966" t="str">
        <f>RIGHT(RIGHT(Table2[[#This Row],[last Updated]],12),4)</f>
        <v xml:space="preserve"> PDT</v>
      </c>
      <c r="Q966" t="s">
        <v>226</v>
      </c>
    </row>
    <row r="967" spans="1:17" x14ac:dyDescent="0.25">
      <c r="A967" t="s">
        <v>485</v>
      </c>
      <c r="B967" t="str">
        <f>UPPER(Table2[[#This Row],[Brand]])</f>
        <v>DIESEL</v>
      </c>
      <c r="C967" t="str">
        <f>LOWER(Table2[[#This Row],[Brand]])</f>
        <v>diesel</v>
      </c>
      <c r="D967" t="str">
        <f>PROPER(Table2[[#This Row],[Brand]])</f>
        <v>Diesel</v>
      </c>
      <c r="E967" t="s">
        <v>15</v>
      </c>
      <c r="F967">
        <v>29.74</v>
      </c>
      <c r="G967" t="s">
        <v>2862</v>
      </c>
      <c r="H96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$29.74</v>
      </c>
      <c r="I967" t="str">
        <f>LEFT(Table2[[#This Row],[priceWithCurrency]],3)</f>
        <v xml:space="preserve">US </v>
      </c>
      <c r="J967">
        <v>19</v>
      </c>
      <c r="K967" t="str">
        <f>IF(Table2[[#This Row],[Available]]&lt;=50, "Less Stock", "Required stock" )</f>
        <v>Less Stock</v>
      </c>
      <c r="L967">
        <f t="shared" si="15"/>
        <v>0</v>
      </c>
      <c r="M967" t="s">
        <v>2863</v>
      </c>
      <c r="N967">
        <v>578</v>
      </c>
      <c r="O967" t="s">
        <v>2864</v>
      </c>
      <c r="P967" t="str">
        <f>RIGHT(RIGHT(Table2[[#This Row],[last Updated]],12),4)</f>
        <v xml:space="preserve"> PDT</v>
      </c>
      <c r="Q967" t="s">
        <v>121</v>
      </c>
    </row>
    <row r="968" spans="1:17" x14ac:dyDescent="0.25">
      <c r="A968" t="s">
        <v>2088</v>
      </c>
      <c r="B968" t="str">
        <f>UPPER(Table2[[#This Row],[Brand]])</f>
        <v>JIMMY CHOO</v>
      </c>
      <c r="C968" t="str">
        <f>LOWER(Table2[[#This Row],[Brand]])</f>
        <v>jimmy choo</v>
      </c>
      <c r="D968" t="str">
        <f>PROPER(Table2[[#This Row],[Brand]])</f>
        <v>Jimmy Choo</v>
      </c>
      <c r="E968" t="s">
        <v>15</v>
      </c>
      <c r="F968">
        <v>36.99</v>
      </c>
      <c r="G968" t="s">
        <v>909</v>
      </c>
      <c r="H96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$36.99</v>
      </c>
      <c r="I968" t="str">
        <f>LEFT(Table2[[#This Row],[priceWithCurrency]],3)</f>
        <v xml:space="preserve">US </v>
      </c>
      <c r="J968">
        <v>4</v>
      </c>
      <c r="K968" t="str">
        <f>IF(Table2[[#This Row],[Available]]&lt;=50, "Less Stock", "Required stock" )</f>
        <v>Less Stock</v>
      </c>
      <c r="L968">
        <f t="shared" si="15"/>
        <v>0</v>
      </c>
      <c r="M968" t="s">
        <v>1603</v>
      </c>
      <c r="N968">
        <v>16</v>
      </c>
      <c r="O968" t="s">
        <v>2865</v>
      </c>
      <c r="P968" t="str">
        <f>RIGHT(RIGHT(Table2[[#This Row],[last Updated]],12),4)</f>
        <v xml:space="preserve"> PDT</v>
      </c>
      <c r="Q968" t="s">
        <v>438</v>
      </c>
    </row>
    <row r="969" spans="1:17" x14ac:dyDescent="0.25">
      <c r="A969" t="s">
        <v>2866</v>
      </c>
      <c r="B969" t="str">
        <f>UPPER(Table2[[#This Row],[Brand]])</f>
        <v>MICHEL GERMAIN</v>
      </c>
      <c r="C969" t="str">
        <f>LOWER(Table2[[#This Row],[Brand]])</f>
        <v>michel germain</v>
      </c>
      <c r="D969" t="str">
        <f>PROPER(Table2[[#This Row],[Brand]])</f>
        <v>Michel Germain</v>
      </c>
      <c r="E969" t="s">
        <v>15</v>
      </c>
      <c r="F969">
        <v>41.19</v>
      </c>
      <c r="G969" t="s">
        <v>2867</v>
      </c>
      <c r="H96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$41.19</v>
      </c>
      <c r="I969" t="str">
        <f>LEFT(Table2[[#This Row],[priceWithCurrency]],3)</f>
        <v xml:space="preserve">US </v>
      </c>
      <c r="J969">
        <v>21</v>
      </c>
      <c r="K969" t="str">
        <f>IF(Table2[[#This Row],[Available]]&lt;=50, "Less Stock", "Required stock" )</f>
        <v>Less Stock</v>
      </c>
      <c r="L969">
        <f t="shared" si="15"/>
        <v>0</v>
      </c>
      <c r="M969" t="s">
        <v>2868</v>
      </c>
      <c r="N969">
        <v>258</v>
      </c>
      <c r="O969" t="s">
        <v>2869</v>
      </c>
      <c r="P969" t="str">
        <f>RIGHT(RIGHT(Table2[[#This Row],[last Updated]],12),4)</f>
        <v xml:space="preserve"> PDT</v>
      </c>
      <c r="Q969" t="s">
        <v>121</v>
      </c>
    </row>
    <row r="970" spans="1:17" x14ac:dyDescent="0.25">
      <c r="A970" t="s">
        <v>461</v>
      </c>
      <c r="B970" t="str">
        <f>UPPER(Table2[[#This Row],[Brand]])</f>
        <v>GIANNI VERSACE</v>
      </c>
      <c r="C970" t="str">
        <f>LOWER(Table2[[#This Row],[Brand]])</f>
        <v>gianni versace</v>
      </c>
      <c r="D970" t="str">
        <f>PROPER(Table2[[#This Row],[Brand]])</f>
        <v>Gianni Versace</v>
      </c>
      <c r="E970" t="s">
        <v>15</v>
      </c>
      <c r="F970">
        <v>69.25</v>
      </c>
      <c r="G970" t="s">
        <v>2870</v>
      </c>
      <c r="H97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$69.25</v>
      </c>
      <c r="I970" t="str">
        <f>LEFT(Table2[[#This Row],[priceWithCurrency]],3)</f>
        <v xml:space="preserve">US </v>
      </c>
      <c r="J970">
        <v>3</v>
      </c>
      <c r="K970" t="str">
        <f>IF(Table2[[#This Row],[Available]]&lt;=50, "Less Stock", "Required stock" )</f>
        <v>Less Stock</v>
      </c>
      <c r="L970">
        <f t="shared" si="15"/>
        <v>0</v>
      </c>
      <c r="M970" t="s">
        <v>1660</v>
      </c>
      <c r="N970">
        <v>19</v>
      </c>
      <c r="O970" t="s">
        <v>2871</v>
      </c>
      <c r="P970" t="str">
        <f>RIGHT(RIGHT(Table2[[#This Row],[last Updated]],12),4)</f>
        <v xml:space="preserve"> PDT</v>
      </c>
      <c r="Q970" t="s">
        <v>2872</v>
      </c>
    </row>
    <row r="971" spans="1:17" x14ac:dyDescent="0.25">
      <c r="A971" t="s">
        <v>846</v>
      </c>
      <c r="B971" t="str">
        <f>UPPER(Table2[[#This Row],[Brand]])</f>
        <v>LALIQUE</v>
      </c>
      <c r="C971" t="str">
        <f>LOWER(Table2[[#This Row],[Brand]])</f>
        <v>lalique</v>
      </c>
      <c r="D971" t="str">
        <f>PROPER(Table2[[#This Row],[Brand]])</f>
        <v>Lalique</v>
      </c>
      <c r="E971" t="s">
        <v>4</v>
      </c>
      <c r="F971">
        <v>31.47</v>
      </c>
      <c r="G971" t="s">
        <v>2873</v>
      </c>
      <c r="H97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$31.47</v>
      </c>
      <c r="I971" t="str">
        <f>LEFT(Table2[[#This Row],[priceWithCurrency]],3)</f>
        <v xml:space="preserve">US </v>
      </c>
      <c r="J971">
        <v>48</v>
      </c>
      <c r="K971" t="str">
        <f>IF(Table2[[#This Row],[Available]]&lt;=50, "Less Stock", "Required stock" )</f>
        <v>Less Stock</v>
      </c>
      <c r="L971">
        <f t="shared" si="15"/>
        <v>0</v>
      </c>
      <c r="M971" t="s">
        <v>2874</v>
      </c>
      <c r="N971">
        <v>397</v>
      </c>
      <c r="O971" t="s">
        <v>2875</v>
      </c>
      <c r="P971" t="str">
        <f>RIGHT(RIGHT(Table2[[#This Row],[last Updated]],12),4)</f>
        <v xml:space="preserve"> PDT</v>
      </c>
      <c r="Q971" t="s">
        <v>121</v>
      </c>
    </row>
    <row r="972" spans="1:17" x14ac:dyDescent="0.25">
      <c r="A972" t="s">
        <v>2876</v>
      </c>
      <c r="B972" t="str">
        <f>UPPER(Table2[[#This Row],[Brand]])</f>
        <v>THE BARON</v>
      </c>
      <c r="C972" t="str">
        <f>LOWER(Table2[[#This Row],[Brand]])</f>
        <v>the baron</v>
      </c>
      <c r="D972" t="str">
        <f>PROPER(Table2[[#This Row],[Brand]])</f>
        <v>The Baron</v>
      </c>
      <c r="E972" t="s">
        <v>374</v>
      </c>
      <c r="F972">
        <v>34.99</v>
      </c>
      <c r="G972" t="s">
        <v>1718</v>
      </c>
      <c r="H97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$34.99</v>
      </c>
      <c r="I972" t="str">
        <f>LEFT(Table2[[#This Row],[priceWithCurrency]],3)</f>
        <v xml:space="preserve">US </v>
      </c>
      <c r="J972">
        <v>3</v>
      </c>
      <c r="K972" t="str">
        <f>IF(Table2[[#This Row],[Available]]&lt;=50, "Less Stock", "Required stock" )</f>
        <v>Less Stock</v>
      </c>
      <c r="L972">
        <f t="shared" si="15"/>
        <v>0</v>
      </c>
      <c r="M972" t="s">
        <v>1374</v>
      </c>
      <c r="N972">
        <v>1</v>
      </c>
      <c r="O972" t="s">
        <v>2877</v>
      </c>
      <c r="P972" t="str">
        <f>RIGHT(RIGHT(Table2[[#This Row],[last Updated]],12),4)</f>
        <v xml:space="preserve"> PST</v>
      </c>
      <c r="Q972" t="s">
        <v>2878</v>
      </c>
    </row>
    <row r="973" spans="1:17" x14ac:dyDescent="0.25">
      <c r="A973" t="s">
        <v>543</v>
      </c>
      <c r="B973" t="str">
        <f>UPPER(Table2[[#This Row],[Brand]])</f>
        <v>JEAN PAUL GAULTIER</v>
      </c>
      <c r="C973" t="str">
        <f>LOWER(Table2[[#This Row],[Brand]])</f>
        <v>jean paul gaultier</v>
      </c>
      <c r="D973" t="str">
        <f>PROPER(Table2[[#This Row],[Brand]])</f>
        <v>Jean Paul Gaultier</v>
      </c>
      <c r="E973" t="s">
        <v>15</v>
      </c>
      <c r="F973">
        <v>55.99</v>
      </c>
      <c r="G973" t="s">
        <v>2879</v>
      </c>
      <c r="H97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$55.99</v>
      </c>
      <c r="I973" t="str">
        <f>LEFT(Table2[[#This Row],[priceWithCurrency]],3)</f>
        <v xml:space="preserve">US </v>
      </c>
      <c r="J973">
        <v>10</v>
      </c>
      <c r="K973" t="str">
        <f>IF(Table2[[#This Row],[Available]]&lt;=50, "Less Stock", "Required stock" )</f>
        <v>Less Stock</v>
      </c>
      <c r="L973">
        <f t="shared" si="15"/>
        <v>0</v>
      </c>
      <c r="M973" t="s">
        <v>2880</v>
      </c>
      <c r="N973">
        <v>368</v>
      </c>
      <c r="O973" t="s">
        <v>2881</v>
      </c>
      <c r="P973" t="str">
        <f>RIGHT(RIGHT(Table2[[#This Row],[last Updated]],12),4)</f>
        <v xml:space="preserve"> PDT</v>
      </c>
      <c r="Q973" t="s">
        <v>131</v>
      </c>
    </row>
    <row r="974" spans="1:17" x14ac:dyDescent="0.25">
      <c r="A974" t="s">
        <v>860</v>
      </c>
      <c r="B974" t="str">
        <f>UPPER(Table2[[#This Row],[Brand]])</f>
        <v>LIZ CLAIBORNE</v>
      </c>
      <c r="C974" t="str">
        <f>LOWER(Table2[[#This Row],[Brand]])</f>
        <v>liz claiborne</v>
      </c>
      <c r="D974" t="str">
        <f>PROPER(Table2[[#This Row],[Brand]])</f>
        <v>Liz Claiborne</v>
      </c>
      <c r="E974" t="s">
        <v>15</v>
      </c>
      <c r="F974">
        <v>18.32</v>
      </c>
      <c r="G974" t="s">
        <v>2882</v>
      </c>
      <c r="H97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$18.32</v>
      </c>
      <c r="I974" t="str">
        <f>LEFT(Table2[[#This Row],[priceWithCurrency]],3)</f>
        <v xml:space="preserve">US </v>
      </c>
      <c r="J974">
        <v>10</v>
      </c>
      <c r="K974" t="str">
        <f>IF(Table2[[#This Row],[Available]]&lt;=50, "Less Stock", "Required stock" )</f>
        <v>Less Stock</v>
      </c>
      <c r="L974">
        <f t="shared" si="15"/>
        <v>0</v>
      </c>
      <c r="M974" t="s">
        <v>2883</v>
      </c>
      <c r="N974">
        <v>211</v>
      </c>
      <c r="O974" t="s">
        <v>2884</v>
      </c>
      <c r="P974" t="str">
        <f>RIGHT(RIGHT(Table2[[#This Row],[last Updated]],12),4)</f>
        <v xml:space="preserve"> PDT</v>
      </c>
      <c r="Q974" t="s">
        <v>108</v>
      </c>
    </row>
    <row r="975" spans="1:17" x14ac:dyDescent="0.25">
      <c r="A975" t="s">
        <v>2885</v>
      </c>
      <c r="B975" t="str">
        <f>UPPER(Table2[[#This Row],[Brand]])</f>
        <v>NINA RICCI</v>
      </c>
      <c r="C975" t="str">
        <f>LOWER(Table2[[#This Row],[Brand]])</f>
        <v>nina ricci</v>
      </c>
      <c r="D975" t="str">
        <f>PROPER(Table2[[#This Row],[Brand]])</f>
        <v>Nina Ricci</v>
      </c>
      <c r="E975" t="s">
        <v>15</v>
      </c>
      <c r="F975">
        <v>120</v>
      </c>
      <c r="G975" t="s">
        <v>2886</v>
      </c>
      <c r="H97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$120.00</v>
      </c>
      <c r="I975" t="str">
        <f>LEFT(Table2[[#This Row],[priceWithCurrency]],3)</f>
        <v xml:space="preserve">US </v>
      </c>
      <c r="J975">
        <v>3</v>
      </c>
      <c r="K975" t="str">
        <f>IF(Table2[[#This Row],[Available]]&lt;=50, "Less Stock", "Required stock" )</f>
        <v>Less Stock</v>
      </c>
      <c r="L975">
        <f t="shared" si="15"/>
        <v>0</v>
      </c>
      <c r="M975" t="s">
        <v>1331</v>
      </c>
      <c r="N975">
        <v>7</v>
      </c>
      <c r="O975" t="s">
        <v>2887</v>
      </c>
      <c r="P975" t="str">
        <f>RIGHT(RIGHT(Table2[[#This Row],[last Updated]],12),4)</f>
        <v xml:space="preserve"> PDT</v>
      </c>
      <c r="Q975" t="s">
        <v>2888</v>
      </c>
    </row>
    <row r="976" spans="1:17" x14ac:dyDescent="0.25">
      <c r="A976" t="s">
        <v>2889</v>
      </c>
      <c r="B976" t="str">
        <f>UPPER(Table2[[#This Row],[Brand]])</f>
        <v>VINCE CAMUTO</v>
      </c>
      <c r="C976" t="str">
        <f>LOWER(Table2[[#This Row],[Brand]])</f>
        <v>vince camuto</v>
      </c>
      <c r="D976" t="str">
        <f>PROPER(Table2[[#This Row],[Brand]])</f>
        <v>Vince Camuto</v>
      </c>
      <c r="E976" t="s">
        <v>15</v>
      </c>
      <c r="F976">
        <v>21.21</v>
      </c>
      <c r="G976" t="s">
        <v>2890</v>
      </c>
      <c r="H97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$21.21</v>
      </c>
      <c r="I976" t="str">
        <f>LEFT(Table2[[#This Row],[priceWithCurrency]],3)</f>
        <v xml:space="preserve">US </v>
      </c>
      <c r="J976">
        <v>8</v>
      </c>
      <c r="K976" t="str">
        <f>IF(Table2[[#This Row],[Available]]&lt;=50, "Less Stock", "Required stock" )</f>
        <v>Less Stock</v>
      </c>
      <c r="L976">
        <f t="shared" si="15"/>
        <v>0</v>
      </c>
      <c r="M976" t="s">
        <v>314</v>
      </c>
      <c r="N976">
        <v>300</v>
      </c>
      <c r="O976" t="s">
        <v>2891</v>
      </c>
      <c r="P976" t="str">
        <f>RIGHT(RIGHT(Table2[[#This Row],[last Updated]],12),4)</f>
        <v xml:space="preserve"> PDT</v>
      </c>
      <c r="Q976" t="s">
        <v>108</v>
      </c>
    </row>
    <row r="977" spans="1:17" x14ac:dyDescent="0.25">
      <c r="A977" t="s">
        <v>195</v>
      </c>
      <c r="B977" t="str">
        <f>UPPER(Table2[[#This Row],[Brand]])</f>
        <v>GIVENCHY</v>
      </c>
      <c r="C977" t="str">
        <f>LOWER(Table2[[#This Row],[Brand]])</f>
        <v>givenchy</v>
      </c>
      <c r="D977" t="str">
        <f>PROPER(Table2[[#This Row],[Brand]])</f>
        <v>Givenchy</v>
      </c>
      <c r="E977" t="s">
        <v>4</v>
      </c>
      <c r="F977">
        <v>80</v>
      </c>
      <c r="G977" t="s">
        <v>2892</v>
      </c>
      <c r="H97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$80.00</v>
      </c>
      <c r="I977" t="str">
        <f>LEFT(Table2[[#This Row],[priceWithCurrency]],3)</f>
        <v xml:space="preserve">US </v>
      </c>
      <c r="J977">
        <v>10</v>
      </c>
      <c r="K977" t="str">
        <f>IF(Table2[[#This Row],[Available]]&lt;=50, "Less Stock", "Required stock" )</f>
        <v>Less Stock</v>
      </c>
      <c r="L977">
        <f t="shared" si="15"/>
        <v>0</v>
      </c>
      <c r="M977" t="s">
        <v>2893</v>
      </c>
      <c r="N977">
        <v>197</v>
      </c>
      <c r="O977" t="s">
        <v>2894</v>
      </c>
      <c r="P977" t="str">
        <f>RIGHT(RIGHT(Table2[[#This Row],[last Updated]],12),4)</f>
        <v xml:space="preserve"> PDT</v>
      </c>
      <c r="Q977" t="s">
        <v>131</v>
      </c>
    </row>
    <row r="978" spans="1:17" x14ac:dyDescent="0.25">
      <c r="A978" t="s">
        <v>2262</v>
      </c>
      <c r="B978" t="str">
        <f>UPPER(Table2[[#This Row],[Brand]])</f>
        <v>CARTIER</v>
      </c>
      <c r="C978" t="str">
        <f>LOWER(Table2[[#This Row],[Brand]])</f>
        <v>cartier</v>
      </c>
      <c r="D978" t="str">
        <f>PROPER(Table2[[#This Row],[Brand]])</f>
        <v>Cartier</v>
      </c>
      <c r="E978" t="s">
        <v>15</v>
      </c>
      <c r="F978">
        <v>49.52</v>
      </c>
      <c r="G978" t="s">
        <v>2895</v>
      </c>
      <c r="H97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$49.52</v>
      </c>
      <c r="I978" t="str">
        <f>LEFT(Table2[[#This Row],[priceWithCurrency]],3)</f>
        <v xml:space="preserve">US </v>
      </c>
      <c r="J978">
        <v>10</v>
      </c>
      <c r="K978" t="str">
        <f>IF(Table2[[#This Row],[Available]]&lt;=50, "Less Stock", "Required stock" )</f>
        <v>Less Stock</v>
      </c>
      <c r="L978">
        <f t="shared" si="15"/>
        <v>0</v>
      </c>
      <c r="M978" t="s">
        <v>1004</v>
      </c>
      <c r="N978">
        <v>20</v>
      </c>
      <c r="O978" t="s">
        <v>2896</v>
      </c>
      <c r="P978" t="str">
        <f>RIGHT(RIGHT(Table2[[#This Row],[last Updated]],12),4)</f>
        <v xml:space="preserve"> PDT</v>
      </c>
      <c r="Q978" t="s">
        <v>108</v>
      </c>
    </row>
    <row r="979" spans="1:17" x14ac:dyDescent="0.25">
      <c r="A979" t="s">
        <v>61</v>
      </c>
      <c r="B979" t="str">
        <f>UPPER(Table2[[#This Row],[Brand]])</f>
        <v>DOLCE&amp;GABBANA</v>
      </c>
      <c r="C979" t="str">
        <f>LOWER(Table2[[#This Row],[Brand]])</f>
        <v>dolce&amp;gabbana</v>
      </c>
      <c r="D979" t="str">
        <f>PROPER(Table2[[#This Row],[Brand]])</f>
        <v>Dolce&amp;Gabbana</v>
      </c>
      <c r="E979" t="s">
        <v>15</v>
      </c>
      <c r="F979">
        <v>54.99</v>
      </c>
      <c r="G979" t="s">
        <v>368</v>
      </c>
      <c r="H97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$54.99</v>
      </c>
      <c r="I979" t="str">
        <f>LEFT(Table2[[#This Row],[priceWithCurrency]],3)</f>
        <v xml:space="preserve">US </v>
      </c>
      <c r="J979">
        <v>2</v>
      </c>
      <c r="K979" t="str">
        <f>IF(Table2[[#This Row],[Available]]&lt;=50, "Less Stock", "Required stock" )</f>
        <v>Less Stock</v>
      </c>
      <c r="L979">
        <f t="shared" si="15"/>
        <v>0</v>
      </c>
      <c r="M979" t="s">
        <v>2897</v>
      </c>
      <c r="N979">
        <v>45</v>
      </c>
      <c r="O979" t="s">
        <v>2898</v>
      </c>
      <c r="P979" t="str">
        <f>RIGHT(RIGHT(Table2[[#This Row],[last Updated]],12),4)</f>
        <v xml:space="preserve"> PDT</v>
      </c>
      <c r="Q979" t="s">
        <v>2899</v>
      </c>
    </row>
    <row r="980" spans="1:17" x14ac:dyDescent="0.25">
      <c r="A980" t="s">
        <v>61</v>
      </c>
      <c r="B980" t="str">
        <f>UPPER(Table2[[#This Row],[Brand]])</f>
        <v>DOLCE&amp;GABBANA</v>
      </c>
      <c r="C980" t="str">
        <f>LOWER(Table2[[#This Row],[Brand]])</f>
        <v>dolce&amp;gabbana</v>
      </c>
      <c r="D980" t="str">
        <f>PROPER(Table2[[#This Row],[Brand]])</f>
        <v>Dolce&amp;Gabbana</v>
      </c>
      <c r="E980" t="s">
        <v>4</v>
      </c>
      <c r="F980">
        <v>91</v>
      </c>
      <c r="G980" t="s">
        <v>2900</v>
      </c>
      <c r="H98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$91.00</v>
      </c>
      <c r="I980" t="str">
        <f>LEFT(Table2[[#This Row],[priceWithCurrency]],3)</f>
        <v xml:space="preserve">US </v>
      </c>
      <c r="J980">
        <v>3</v>
      </c>
      <c r="K980" t="str">
        <f>IF(Table2[[#This Row],[Available]]&lt;=50, "Less Stock", "Required stock" )</f>
        <v>Less Stock</v>
      </c>
      <c r="L980">
        <f t="shared" si="15"/>
        <v>0</v>
      </c>
      <c r="M980" t="s">
        <v>1374</v>
      </c>
      <c r="N980">
        <v>1</v>
      </c>
      <c r="O980" t="s">
        <v>2901</v>
      </c>
      <c r="P980" t="str">
        <f>RIGHT(RIGHT(Table2[[#This Row],[last Updated]],12),4)</f>
        <v xml:space="preserve"> PDT</v>
      </c>
      <c r="Q980" t="s">
        <v>2902</v>
      </c>
    </row>
    <row r="981" spans="1:17" x14ac:dyDescent="0.25">
      <c r="A981" t="s">
        <v>2593</v>
      </c>
      <c r="B981" t="str">
        <f>UPPER(Table2[[#This Row],[Brand]])</f>
        <v>BRUT</v>
      </c>
      <c r="C981" t="str">
        <f>LOWER(Table2[[#This Row],[Brand]])</f>
        <v>brut</v>
      </c>
      <c r="D981" t="str">
        <f>PROPER(Table2[[#This Row],[Brand]])</f>
        <v>Brut</v>
      </c>
      <c r="E981" t="s">
        <v>374</v>
      </c>
      <c r="F981">
        <v>9.7799999999999994</v>
      </c>
      <c r="G981" t="s">
        <v>2903</v>
      </c>
      <c r="H98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$9.78</v>
      </c>
      <c r="I981" t="str">
        <f>LEFT(Table2[[#This Row],[priceWithCurrency]],3)</f>
        <v xml:space="preserve">US </v>
      </c>
      <c r="J981">
        <v>50</v>
      </c>
      <c r="K981" t="str">
        <f>IF(Table2[[#This Row],[Available]]&lt;=50, "Less Stock", "Required stock" )</f>
        <v>Less Stock</v>
      </c>
      <c r="L981">
        <f t="shared" si="15"/>
        <v>0</v>
      </c>
      <c r="M981" t="s">
        <v>2904</v>
      </c>
      <c r="N981">
        <v>8</v>
      </c>
      <c r="O981" t="s">
        <v>2905</v>
      </c>
      <c r="P981" t="str">
        <f>RIGHT(RIGHT(Table2[[#This Row],[last Updated]],12),4)</f>
        <v xml:space="preserve"> PDT</v>
      </c>
      <c r="Q981" t="s">
        <v>1298</v>
      </c>
    </row>
    <row r="982" spans="1:17" x14ac:dyDescent="0.25">
      <c r="A982" t="s">
        <v>2906</v>
      </c>
      <c r="B982" t="str">
        <f>UPPER(Table2[[#This Row],[Brand]])</f>
        <v>MAISON MARGIELA</v>
      </c>
      <c r="C982" t="str">
        <f>LOWER(Table2[[#This Row],[Brand]])</f>
        <v>maison margiela</v>
      </c>
      <c r="D982" t="str">
        <f>PROPER(Table2[[#This Row],[Brand]])</f>
        <v>Maison Margiela</v>
      </c>
      <c r="E982" t="s">
        <v>15</v>
      </c>
      <c r="F982">
        <v>84.98</v>
      </c>
      <c r="G982" t="s">
        <v>2907</v>
      </c>
      <c r="H98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$84.98</v>
      </c>
      <c r="I982" t="str">
        <f>LEFT(Table2[[#This Row],[priceWithCurrency]],3)</f>
        <v xml:space="preserve">US </v>
      </c>
      <c r="J982">
        <v>8</v>
      </c>
      <c r="K982" t="str">
        <f>IF(Table2[[#This Row],[Available]]&lt;=50, "Less Stock", "Required stock" )</f>
        <v>Less Stock</v>
      </c>
      <c r="L982">
        <f t="shared" si="15"/>
        <v>0</v>
      </c>
      <c r="M982" t="s">
        <v>2908</v>
      </c>
      <c r="N982">
        <v>42</v>
      </c>
      <c r="O982" t="s">
        <v>2909</v>
      </c>
      <c r="P982" t="str">
        <f>RIGHT(RIGHT(Table2[[#This Row],[last Updated]],12),4)</f>
        <v xml:space="preserve"> PDT</v>
      </c>
      <c r="Q982" t="s">
        <v>108</v>
      </c>
    </row>
    <row r="983" spans="1:17" x14ac:dyDescent="0.25">
      <c r="A983" t="s">
        <v>2910</v>
      </c>
      <c r="B983" t="str">
        <f>UPPER(Table2[[#This Row],[Brand]])</f>
        <v>MERCEDES BENZ</v>
      </c>
      <c r="C983" t="str">
        <f>LOWER(Table2[[#This Row],[Brand]])</f>
        <v>mercedes benz</v>
      </c>
      <c r="D983" t="str">
        <f>PROPER(Table2[[#This Row],[Brand]])</f>
        <v>Mercedes Benz</v>
      </c>
      <c r="E983" t="s">
        <v>493</v>
      </c>
      <c r="F983">
        <v>41.87</v>
      </c>
      <c r="G983" t="s">
        <v>2911</v>
      </c>
      <c r="H98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$41.87</v>
      </c>
      <c r="I983" t="str">
        <f>LEFT(Table2[[#This Row],[priceWithCurrency]],3)</f>
        <v xml:space="preserve">US </v>
      </c>
      <c r="J983">
        <v>8</v>
      </c>
      <c r="K983" t="str">
        <f>IF(Table2[[#This Row],[Available]]&lt;=50, "Less Stock", "Required stock" )</f>
        <v>Less Stock</v>
      </c>
      <c r="L983">
        <f t="shared" si="15"/>
        <v>0</v>
      </c>
      <c r="M983" t="s">
        <v>2813</v>
      </c>
      <c r="N983">
        <v>21</v>
      </c>
      <c r="O983" t="s">
        <v>2912</v>
      </c>
      <c r="P983" t="str">
        <f>RIGHT(RIGHT(Table2[[#This Row],[last Updated]],12),4)</f>
        <v xml:space="preserve"> PDT</v>
      </c>
      <c r="Q983" t="s">
        <v>226</v>
      </c>
    </row>
    <row r="984" spans="1:17" x14ac:dyDescent="0.25">
      <c r="A984" t="s">
        <v>14</v>
      </c>
      <c r="B984" t="str">
        <f>UPPER(Table2[[#This Row],[Brand]])</f>
        <v>UNBRANDED</v>
      </c>
      <c r="C984" t="str">
        <f>LOWER(Table2[[#This Row],[Brand]])</f>
        <v>unbranded</v>
      </c>
      <c r="D984" t="str">
        <f>PROPER(Table2[[#This Row],[Brand]])</f>
        <v>Unbranded</v>
      </c>
      <c r="E984" t="s">
        <v>4</v>
      </c>
      <c r="F984">
        <v>13.99</v>
      </c>
      <c r="G984" t="s">
        <v>243</v>
      </c>
      <c r="H98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$13.99</v>
      </c>
      <c r="I984" t="str">
        <f>LEFT(Table2[[#This Row],[priceWithCurrency]],3)</f>
        <v xml:space="preserve">US </v>
      </c>
      <c r="J984">
        <v>10</v>
      </c>
      <c r="K984" t="str">
        <f>IF(Table2[[#This Row],[Available]]&lt;=50, "Less Stock", "Required stock" )</f>
        <v>Less Stock</v>
      </c>
      <c r="L984">
        <f t="shared" si="15"/>
        <v>0</v>
      </c>
      <c r="M984" t="s">
        <v>495</v>
      </c>
      <c r="N984">
        <v>9</v>
      </c>
      <c r="O984" t="s">
        <v>2226</v>
      </c>
      <c r="P984" t="str">
        <f>RIGHT(RIGHT(Table2[[#This Row],[last Updated]],12),4)</f>
        <v xml:space="preserve"> PDT</v>
      </c>
      <c r="Q984" t="s">
        <v>19</v>
      </c>
    </row>
    <row r="985" spans="1:17" x14ac:dyDescent="0.25">
      <c r="A985" t="s">
        <v>95</v>
      </c>
      <c r="B985" t="str">
        <f>UPPER(Table2[[#This Row],[Brand]])</f>
        <v>CAROLINA HERRERA</v>
      </c>
      <c r="C985" t="str">
        <f>LOWER(Table2[[#This Row],[Brand]])</f>
        <v>carolina herrera</v>
      </c>
      <c r="D985" t="str">
        <f>PROPER(Table2[[#This Row],[Brand]])</f>
        <v>Carolina Herrera</v>
      </c>
      <c r="E985" t="s">
        <v>4</v>
      </c>
      <c r="F985">
        <v>59.99</v>
      </c>
      <c r="G985" t="s">
        <v>72</v>
      </c>
      <c r="H98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$59.99</v>
      </c>
      <c r="I985" t="str">
        <f>LEFT(Table2[[#This Row],[priceWithCurrency]],3)</f>
        <v xml:space="preserve">US </v>
      </c>
      <c r="J985">
        <v>10</v>
      </c>
      <c r="K985" t="str">
        <f>IF(Table2[[#This Row],[Available]]&lt;=50, "Less Stock", "Required stock" )</f>
        <v>Less Stock</v>
      </c>
      <c r="L985">
        <f t="shared" si="15"/>
        <v>0</v>
      </c>
      <c r="M985" t="s">
        <v>2913</v>
      </c>
      <c r="N985">
        <v>496</v>
      </c>
      <c r="O985" t="s">
        <v>2914</v>
      </c>
      <c r="P985" t="str">
        <f>RIGHT(RIGHT(Table2[[#This Row],[last Updated]],12),4)</f>
        <v xml:space="preserve"> PDT</v>
      </c>
      <c r="Q985" t="s">
        <v>131</v>
      </c>
    </row>
    <row r="986" spans="1:17" x14ac:dyDescent="0.25">
      <c r="A986" t="s">
        <v>1595</v>
      </c>
      <c r="B986" t="str">
        <f>UPPER(Table2[[#This Row],[Brand]])</f>
        <v>HOLLISTER</v>
      </c>
      <c r="C986" t="str">
        <f>LOWER(Table2[[#This Row],[Brand]])</f>
        <v>hollister</v>
      </c>
      <c r="D986" t="str">
        <f>PROPER(Table2[[#This Row],[Brand]])</f>
        <v>Hollister</v>
      </c>
      <c r="E986" t="s">
        <v>15</v>
      </c>
      <c r="F986">
        <v>18.760000000000002</v>
      </c>
      <c r="G986" t="s">
        <v>2915</v>
      </c>
      <c r="H98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$18.76</v>
      </c>
      <c r="I986" t="str">
        <f>LEFT(Table2[[#This Row],[priceWithCurrency]],3)</f>
        <v xml:space="preserve">US </v>
      </c>
      <c r="J986">
        <v>5</v>
      </c>
      <c r="K986" t="str">
        <f>IF(Table2[[#This Row],[Available]]&lt;=50, "Less Stock", "Required stock" )</f>
        <v>Less Stock</v>
      </c>
      <c r="L986">
        <f t="shared" si="15"/>
        <v>0</v>
      </c>
      <c r="M986" t="s">
        <v>2916</v>
      </c>
      <c r="N986">
        <v>227</v>
      </c>
      <c r="O986" t="s">
        <v>2917</v>
      </c>
      <c r="P986" t="str">
        <f>RIGHT(RIGHT(Table2[[#This Row],[last Updated]],12),4)</f>
        <v xml:space="preserve"> PDT</v>
      </c>
      <c r="Q986" t="s">
        <v>108</v>
      </c>
    </row>
    <row r="987" spans="1:17" x14ac:dyDescent="0.25">
      <c r="A987" t="s">
        <v>2918</v>
      </c>
      <c r="B987" t="str">
        <f>UPPER(Table2[[#This Row],[Brand]])</f>
        <v>JUICY COUTURE</v>
      </c>
      <c r="C987" t="str">
        <f>LOWER(Table2[[#This Row],[Brand]])</f>
        <v>juicy couture</v>
      </c>
      <c r="D987" t="str">
        <f>PROPER(Table2[[#This Row],[Brand]])</f>
        <v>Juicy Couture</v>
      </c>
      <c r="E987" t="s">
        <v>15</v>
      </c>
      <c r="F987">
        <v>22.6</v>
      </c>
      <c r="G987" t="s">
        <v>2919</v>
      </c>
      <c r="H98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$22.60</v>
      </c>
      <c r="I987" t="str">
        <f>LEFT(Table2[[#This Row],[priceWithCurrency]],3)</f>
        <v xml:space="preserve">US </v>
      </c>
      <c r="J987">
        <v>9</v>
      </c>
      <c r="K987" t="str">
        <f>IF(Table2[[#This Row],[Available]]&lt;=50, "Less Stock", "Required stock" )</f>
        <v>Less Stock</v>
      </c>
      <c r="L987">
        <f t="shared" si="15"/>
        <v>0</v>
      </c>
      <c r="M987" t="s">
        <v>2920</v>
      </c>
      <c r="N987">
        <v>541</v>
      </c>
      <c r="O987" t="s">
        <v>2921</v>
      </c>
      <c r="P987" t="str">
        <f>RIGHT(RIGHT(Table2[[#This Row],[last Updated]],12),4)</f>
        <v xml:space="preserve"> PDT</v>
      </c>
      <c r="Q987" t="s">
        <v>108</v>
      </c>
    </row>
    <row r="988" spans="1:17" x14ac:dyDescent="0.25">
      <c r="A988" t="s">
        <v>208</v>
      </c>
      <c r="B988" t="str">
        <f>UPPER(Table2[[#This Row],[Brand]])</f>
        <v>POLO RALPH LAUREN</v>
      </c>
      <c r="C988" t="str">
        <f>LOWER(Table2[[#This Row],[Brand]])</f>
        <v>polo ralph lauren</v>
      </c>
      <c r="D988" t="str">
        <f>PROPER(Table2[[#This Row],[Brand]])</f>
        <v>Polo Ralph Lauren</v>
      </c>
      <c r="E988" t="s">
        <v>15</v>
      </c>
      <c r="F988">
        <v>33</v>
      </c>
      <c r="G988" t="s">
        <v>2922</v>
      </c>
      <c r="H98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$33.00</v>
      </c>
      <c r="I988" t="str">
        <f>LEFT(Table2[[#This Row],[priceWithCurrency]],3)</f>
        <v xml:space="preserve">US </v>
      </c>
      <c r="J988">
        <v>4</v>
      </c>
      <c r="K988" t="str">
        <f>IF(Table2[[#This Row],[Available]]&lt;=50, "Less Stock", "Required stock" )</f>
        <v>Less Stock</v>
      </c>
      <c r="L988">
        <f t="shared" si="15"/>
        <v>0</v>
      </c>
      <c r="M988" t="s">
        <v>2923</v>
      </c>
      <c r="N988">
        <v>401</v>
      </c>
      <c r="O988" t="s">
        <v>2924</v>
      </c>
      <c r="P988" t="str">
        <f>RIGHT(RIGHT(Table2[[#This Row],[last Updated]],12),4)</f>
        <v xml:space="preserve"> PDT</v>
      </c>
      <c r="Q988" t="s">
        <v>2925</v>
      </c>
    </row>
    <row r="989" spans="1:17" x14ac:dyDescent="0.25">
      <c r="A989" t="s">
        <v>2926</v>
      </c>
      <c r="B989" t="str">
        <f>UPPER(Table2[[#This Row],[Brand]])</f>
        <v>CUBA</v>
      </c>
      <c r="C989" t="str">
        <f>LOWER(Table2[[#This Row],[Brand]])</f>
        <v>cuba</v>
      </c>
      <c r="D989" t="str">
        <f>PROPER(Table2[[#This Row],[Brand]])</f>
        <v>Cuba</v>
      </c>
      <c r="E989" t="s">
        <v>15</v>
      </c>
      <c r="F989">
        <v>10.58</v>
      </c>
      <c r="G989" t="s">
        <v>2927</v>
      </c>
      <c r="H98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$10.58</v>
      </c>
      <c r="I989" t="str">
        <f>LEFT(Table2[[#This Row],[priceWithCurrency]],3)</f>
        <v xml:space="preserve">US </v>
      </c>
      <c r="J989">
        <v>31</v>
      </c>
      <c r="K989" t="str">
        <f>IF(Table2[[#This Row],[Available]]&lt;=50, "Less Stock", "Required stock" )</f>
        <v>Less Stock</v>
      </c>
      <c r="L989">
        <f t="shared" si="15"/>
        <v>0</v>
      </c>
      <c r="M989" t="s">
        <v>2928</v>
      </c>
      <c r="N989">
        <v>391</v>
      </c>
      <c r="O989" t="s">
        <v>2929</v>
      </c>
      <c r="P989" t="str">
        <f>RIGHT(RIGHT(Table2[[#This Row],[last Updated]],12),4)</f>
        <v xml:space="preserve"> PDT</v>
      </c>
      <c r="Q989" t="s">
        <v>121</v>
      </c>
    </row>
    <row r="990" spans="1:17" x14ac:dyDescent="0.25">
      <c r="A990" t="s">
        <v>2326</v>
      </c>
      <c r="B990" t="str">
        <f>UPPER(Table2[[#This Row],[Brand]])</f>
        <v>MICHAEL JORDAN</v>
      </c>
      <c r="C990" t="str">
        <f>LOWER(Table2[[#This Row],[Brand]])</f>
        <v>michael jordan</v>
      </c>
      <c r="D990" t="str">
        <f>PROPER(Table2[[#This Row],[Brand]])</f>
        <v>Michael Jordan</v>
      </c>
      <c r="E990" t="s">
        <v>374</v>
      </c>
      <c r="F990">
        <v>20.48</v>
      </c>
      <c r="G990" t="s">
        <v>2930</v>
      </c>
      <c r="H99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$20.48</v>
      </c>
      <c r="I990" t="str">
        <f>LEFT(Table2[[#This Row],[priceWithCurrency]],3)</f>
        <v xml:space="preserve">US </v>
      </c>
      <c r="K990" t="str">
        <f>IF(Table2[[#This Row],[Available]]&lt;=50, "Less Stock", "Required stock" )</f>
        <v>Less Stock</v>
      </c>
      <c r="L990">
        <f t="shared" si="15"/>
        <v>0</v>
      </c>
      <c r="M990" t="s">
        <v>2931</v>
      </c>
      <c r="N990">
        <v>2624</v>
      </c>
      <c r="O990" t="s">
        <v>2932</v>
      </c>
      <c r="P990" t="str">
        <f>RIGHT(RIGHT(Table2[[#This Row],[last Updated]],12),4)</f>
        <v xml:space="preserve"> PDT</v>
      </c>
      <c r="Q990" t="s">
        <v>108</v>
      </c>
    </row>
    <row r="991" spans="1:17" x14ac:dyDescent="0.25">
      <c r="A991" t="s">
        <v>1430</v>
      </c>
      <c r="B991" t="str">
        <f>UPPER(Table2[[#This Row],[Brand]])</f>
        <v>YVES DE SISTELLE</v>
      </c>
      <c r="C991" t="str">
        <f>LOWER(Table2[[#This Row],[Brand]])</f>
        <v>yves de sistelle</v>
      </c>
      <c r="D991" t="str">
        <f>PROPER(Table2[[#This Row],[Brand]])</f>
        <v>Yves De Sistelle</v>
      </c>
      <c r="E991" t="s">
        <v>15</v>
      </c>
      <c r="F991">
        <v>18.84</v>
      </c>
      <c r="G991" t="s">
        <v>2933</v>
      </c>
      <c r="H99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$18.84</v>
      </c>
      <c r="I991" t="str">
        <f>LEFT(Table2[[#This Row],[priceWithCurrency]],3)</f>
        <v xml:space="preserve">US </v>
      </c>
      <c r="J991">
        <v>47</v>
      </c>
      <c r="K991" t="str">
        <f>IF(Table2[[#This Row],[Available]]&lt;=50, "Less Stock", "Required stock" )</f>
        <v>Less Stock</v>
      </c>
      <c r="L991">
        <f t="shared" si="15"/>
        <v>0</v>
      </c>
      <c r="M991" t="s">
        <v>2934</v>
      </c>
      <c r="N991">
        <v>674</v>
      </c>
      <c r="O991" t="s">
        <v>2935</v>
      </c>
      <c r="P991" t="str">
        <f>RIGHT(RIGHT(Table2[[#This Row],[last Updated]],12),4)</f>
        <v xml:space="preserve"> PDT</v>
      </c>
      <c r="Q991" t="s">
        <v>121</v>
      </c>
    </row>
    <row r="992" spans="1:17" x14ac:dyDescent="0.25">
      <c r="A992" t="s">
        <v>2481</v>
      </c>
      <c r="B992" t="str">
        <f>UPPER(Table2[[#This Row],[Brand]])</f>
        <v>PERRY ELLIS</v>
      </c>
      <c r="C992" t="str">
        <f>LOWER(Table2[[#This Row],[Brand]])</f>
        <v>perry ellis</v>
      </c>
      <c r="D992" t="str">
        <f>PROPER(Table2[[#This Row],[Brand]])</f>
        <v>Perry Ellis</v>
      </c>
      <c r="E992" t="s">
        <v>493</v>
      </c>
      <c r="F992">
        <v>40.72</v>
      </c>
      <c r="G992" t="s">
        <v>2936</v>
      </c>
      <c r="H992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$40.72</v>
      </c>
      <c r="I992" t="str">
        <f>LEFT(Table2[[#This Row],[priceWithCurrency]],3)</f>
        <v xml:space="preserve">US </v>
      </c>
      <c r="J992">
        <v>10</v>
      </c>
      <c r="K992" t="str">
        <f>IF(Table2[[#This Row],[Available]]&lt;=50, "Less Stock", "Required stock" )</f>
        <v>Less Stock</v>
      </c>
      <c r="L992">
        <f t="shared" si="15"/>
        <v>0</v>
      </c>
      <c r="M992" t="s">
        <v>2937</v>
      </c>
      <c r="N992">
        <v>232</v>
      </c>
      <c r="O992" t="s">
        <v>2938</v>
      </c>
      <c r="P992" t="str">
        <f>RIGHT(RIGHT(Table2[[#This Row],[last Updated]],12),4)</f>
        <v xml:space="preserve"> PDT</v>
      </c>
      <c r="Q992" t="s">
        <v>226</v>
      </c>
    </row>
    <row r="993" spans="1:17" x14ac:dyDescent="0.25">
      <c r="A993" t="s">
        <v>195</v>
      </c>
      <c r="B993" t="str">
        <f>UPPER(Table2[[#This Row],[Brand]])</f>
        <v>GIVENCHY</v>
      </c>
      <c r="C993" t="str">
        <f>LOWER(Table2[[#This Row],[Brand]])</f>
        <v>givenchy</v>
      </c>
      <c r="D993" t="str">
        <f>PROPER(Table2[[#This Row],[Brand]])</f>
        <v>Givenchy</v>
      </c>
      <c r="E993" t="s">
        <v>4</v>
      </c>
      <c r="F993">
        <v>73.52</v>
      </c>
      <c r="G993" t="s">
        <v>2939</v>
      </c>
      <c r="H993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$73.52</v>
      </c>
      <c r="I993" t="str">
        <f>LEFT(Table2[[#This Row],[priceWithCurrency]],3)</f>
        <v xml:space="preserve">US </v>
      </c>
      <c r="J993">
        <v>4</v>
      </c>
      <c r="K993" t="str">
        <f>IF(Table2[[#This Row],[Available]]&lt;=50, "Less Stock", "Required stock" )</f>
        <v>Less Stock</v>
      </c>
      <c r="L993">
        <f t="shared" si="15"/>
        <v>0</v>
      </c>
      <c r="M993" t="s">
        <v>566</v>
      </c>
      <c r="N993">
        <v>8</v>
      </c>
      <c r="O993" t="s">
        <v>2940</v>
      </c>
      <c r="P993" t="str">
        <f>RIGHT(RIGHT(Table2[[#This Row],[last Updated]],12),4)</f>
        <v xml:space="preserve"> PDT</v>
      </c>
      <c r="Q993" t="s">
        <v>121</v>
      </c>
    </row>
    <row r="994" spans="1:17" x14ac:dyDescent="0.25">
      <c r="A994" t="s">
        <v>2941</v>
      </c>
      <c r="B994" t="str">
        <f>UPPER(Table2[[#This Row],[Brand]])</f>
        <v>MANDARIN DUCK</v>
      </c>
      <c r="C994" t="str">
        <f>LOWER(Table2[[#This Row],[Brand]])</f>
        <v>mandarin duck</v>
      </c>
      <c r="D994" t="str">
        <f>PROPER(Table2[[#This Row],[Brand]])</f>
        <v>Mandarin Duck</v>
      </c>
      <c r="E994" t="s">
        <v>15</v>
      </c>
      <c r="F994">
        <v>27.99</v>
      </c>
      <c r="G994" t="s">
        <v>2942</v>
      </c>
      <c r="H994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$27.99</v>
      </c>
      <c r="I994" t="str">
        <f>LEFT(Table2[[#This Row],[priceWithCurrency]],3)</f>
        <v xml:space="preserve">US </v>
      </c>
      <c r="J994">
        <v>10</v>
      </c>
      <c r="K994" t="str">
        <f>IF(Table2[[#This Row],[Available]]&lt;=50, "Less Stock", "Required stock" )</f>
        <v>Less Stock</v>
      </c>
      <c r="L994">
        <f t="shared" si="15"/>
        <v>0</v>
      </c>
      <c r="M994" t="s">
        <v>707</v>
      </c>
      <c r="N994">
        <v>75</v>
      </c>
      <c r="O994" t="s">
        <v>2943</v>
      </c>
      <c r="P994" t="str">
        <f>RIGHT(RIGHT(Table2[[#This Row],[last Updated]],12),4)</f>
        <v xml:space="preserve"> PDT</v>
      </c>
      <c r="Q994" t="s">
        <v>226</v>
      </c>
    </row>
    <row r="995" spans="1:17" x14ac:dyDescent="0.25">
      <c r="A995" t="s">
        <v>1780</v>
      </c>
      <c r="B995" t="str">
        <f>UPPER(Table2[[#This Row],[Brand]])</f>
        <v>FRANCK OLIVIER</v>
      </c>
      <c r="C995" t="str">
        <f>LOWER(Table2[[#This Row],[Brand]])</f>
        <v>franck olivier</v>
      </c>
      <c r="D995" t="str">
        <f>PROPER(Table2[[#This Row],[Brand]])</f>
        <v>Franck Olivier</v>
      </c>
      <c r="E995" t="s">
        <v>15</v>
      </c>
      <c r="F995">
        <v>24.25</v>
      </c>
      <c r="G995" t="s">
        <v>2944</v>
      </c>
      <c r="H995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$24.25</v>
      </c>
      <c r="I995" t="str">
        <f>LEFT(Table2[[#This Row],[priceWithCurrency]],3)</f>
        <v xml:space="preserve">US </v>
      </c>
      <c r="J995">
        <v>10</v>
      </c>
      <c r="K995" t="str">
        <f>IF(Table2[[#This Row],[Available]]&lt;=50, "Less Stock", "Required stock" )</f>
        <v>Less Stock</v>
      </c>
      <c r="L995">
        <f t="shared" si="15"/>
        <v>0</v>
      </c>
      <c r="M995" t="s">
        <v>2945</v>
      </c>
      <c r="N995">
        <v>177</v>
      </c>
      <c r="O995" t="s">
        <v>2946</v>
      </c>
      <c r="P995" t="str">
        <f>RIGHT(RIGHT(Table2[[#This Row],[last Updated]],12),4)</f>
        <v xml:space="preserve"> PDT</v>
      </c>
      <c r="Q995" t="s">
        <v>973</v>
      </c>
    </row>
    <row r="996" spans="1:17" x14ac:dyDescent="0.25">
      <c r="A996" t="s">
        <v>61</v>
      </c>
      <c r="B996" t="str">
        <f>UPPER(Table2[[#This Row],[Brand]])</f>
        <v>DOLCE&amp;GABBANA</v>
      </c>
      <c r="C996" t="str">
        <f>LOWER(Table2[[#This Row],[Brand]])</f>
        <v>dolce&amp;gabbana</v>
      </c>
      <c r="D996" t="str">
        <f>PROPER(Table2[[#This Row],[Brand]])</f>
        <v>Dolce&amp;Gabbana</v>
      </c>
      <c r="E996" t="s">
        <v>15</v>
      </c>
      <c r="F996">
        <v>27.99</v>
      </c>
      <c r="G996" t="s">
        <v>2942</v>
      </c>
      <c r="H996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$27.99</v>
      </c>
      <c r="I996" t="str">
        <f>LEFT(Table2[[#This Row],[priceWithCurrency]],3)</f>
        <v xml:space="preserve">US </v>
      </c>
      <c r="J996">
        <v>7</v>
      </c>
      <c r="K996" t="str">
        <f>IF(Table2[[#This Row],[Available]]&lt;=50, "Less Stock", "Required stock" )</f>
        <v>Less Stock</v>
      </c>
      <c r="L996">
        <f t="shared" si="15"/>
        <v>0</v>
      </c>
      <c r="M996" t="s">
        <v>2947</v>
      </c>
      <c r="N996">
        <v>24</v>
      </c>
      <c r="P996" t="str">
        <f>RIGHT(RIGHT(Table2[[#This Row],[last Updated]],12),4)</f>
        <v/>
      </c>
      <c r="Q996" t="s">
        <v>709</v>
      </c>
    </row>
    <row r="997" spans="1:17" x14ac:dyDescent="0.25">
      <c r="A997" t="s">
        <v>2948</v>
      </c>
      <c r="B997" t="str">
        <f>UPPER(Table2[[#This Row],[Brand]])</f>
        <v>GUESS</v>
      </c>
      <c r="C997" t="str">
        <f>LOWER(Table2[[#This Row],[Brand]])</f>
        <v>guess</v>
      </c>
      <c r="D997" t="str">
        <f>PROPER(Table2[[#This Row],[Brand]])</f>
        <v>Guess</v>
      </c>
      <c r="E997" t="s">
        <v>15</v>
      </c>
      <c r="F997">
        <v>20.28</v>
      </c>
      <c r="G997" t="s">
        <v>2949</v>
      </c>
      <c r="H997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$20.28</v>
      </c>
      <c r="I997" t="str">
        <f>LEFT(Table2[[#This Row],[priceWithCurrency]],3)</f>
        <v xml:space="preserve">US </v>
      </c>
      <c r="J997">
        <v>45</v>
      </c>
      <c r="K997" t="str">
        <f>IF(Table2[[#This Row],[Available]]&lt;=50, "Less Stock", "Required stock" )</f>
        <v>Less Stock</v>
      </c>
      <c r="L997">
        <f t="shared" si="15"/>
        <v>0</v>
      </c>
      <c r="M997" t="s">
        <v>2950</v>
      </c>
      <c r="N997">
        <v>1613</v>
      </c>
      <c r="O997" t="s">
        <v>2951</v>
      </c>
      <c r="P997" t="str">
        <f>RIGHT(RIGHT(Table2[[#This Row],[last Updated]],12),4)</f>
        <v xml:space="preserve"> PDT</v>
      </c>
      <c r="Q997" t="s">
        <v>121</v>
      </c>
    </row>
    <row r="998" spans="1:17" x14ac:dyDescent="0.25">
      <c r="A998" t="s">
        <v>90</v>
      </c>
      <c r="B998" t="str">
        <f>UPPER(Table2[[#This Row],[Brand]])</f>
        <v>ARMAF</v>
      </c>
      <c r="C998" t="str">
        <f>LOWER(Table2[[#This Row],[Brand]])</f>
        <v>armaf</v>
      </c>
      <c r="D998" t="str">
        <f>PROPER(Table2[[#This Row],[Brand]])</f>
        <v>Armaf</v>
      </c>
      <c r="E998" t="s">
        <v>15</v>
      </c>
      <c r="F998">
        <v>30.58</v>
      </c>
      <c r="G998" t="s">
        <v>2952</v>
      </c>
      <c r="H998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$30.58</v>
      </c>
      <c r="I998" t="str">
        <f>LEFT(Table2[[#This Row],[priceWithCurrency]],3)</f>
        <v xml:space="preserve">US </v>
      </c>
      <c r="J998">
        <v>10</v>
      </c>
      <c r="K998" t="str">
        <f>IF(Table2[[#This Row],[Available]]&lt;=50, "Less Stock", "Required stock" )</f>
        <v>Less Stock</v>
      </c>
      <c r="L998">
        <f t="shared" si="15"/>
        <v>0</v>
      </c>
      <c r="M998" t="s">
        <v>1447</v>
      </c>
      <c r="N998">
        <v>31</v>
      </c>
      <c r="O998" t="s">
        <v>2953</v>
      </c>
      <c r="P998" t="str">
        <f>RIGHT(RIGHT(Table2[[#This Row],[last Updated]],12),4)</f>
        <v xml:space="preserve"> PDT</v>
      </c>
      <c r="Q998" t="s">
        <v>1948</v>
      </c>
    </row>
    <row r="999" spans="1:17" x14ac:dyDescent="0.25">
      <c r="A999" t="s">
        <v>79</v>
      </c>
      <c r="B999" t="str">
        <f>UPPER(Table2[[#This Row],[Brand]])</f>
        <v>PACO RABANNE</v>
      </c>
      <c r="C999" t="str">
        <f>LOWER(Table2[[#This Row],[Brand]])</f>
        <v>paco rabanne</v>
      </c>
      <c r="D999" t="str">
        <f>PROPER(Table2[[#This Row],[Brand]])</f>
        <v>Paco Rabanne</v>
      </c>
      <c r="E999" t="s">
        <v>15</v>
      </c>
      <c r="F999">
        <v>39.99</v>
      </c>
      <c r="G999" t="s">
        <v>96</v>
      </c>
      <c r="H999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$39.99</v>
      </c>
      <c r="I999" t="str">
        <f>LEFT(Table2[[#This Row],[priceWithCurrency]],3)</f>
        <v xml:space="preserve">US </v>
      </c>
      <c r="J999">
        <v>2</v>
      </c>
      <c r="K999" t="str">
        <f>IF(Table2[[#This Row],[Available]]&lt;=50, "Less Stock", "Required stock" )</f>
        <v>Less Stock</v>
      </c>
      <c r="L999">
        <f t="shared" si="15"/>
        <v>0</v>
      </c>
      <c r="M999" t="s">
        <v>2954</v>
      </c>
      <c r="N999">
        <v>305</v>
      </c>
      <c r="O999" t="s">
        <v>2955</v>
      </c>
      <c r="P999" t="str">
        <f>RIGHT(RIGHT(Table2[[#This Row],[last Updated]],12),4)</f>
        <v xml:space="preserve"> PDT</v>
      </c>
      <c r="Q999" t="s">
        <v>1983</v>
      </c>
    </row>
    <row r="1000" spans="1:17" x14ac:dyDescent="0.25">
      <c r="A1000" t="s">
        <v>966</v>
      </c>
      <c r="B1000" t="str">
        <f>UPPER(Table2[[#This Row],[Brand]])</f>
        <v>LOMANI</v>
      </c>
      <c r="C1000" t="str">
        <f>LOWER(Table2[[#This Row],[Brand]])</f>
        <v>lomani</v>
      </c>
      <c r="D1000" t="str">
        <f>PROPER(Table2[[#This Row],[Brand]])</f>
        <v>Lomani</v>
      </c>
      <c r="E1000" t="s">
        <v>15</v>
      </c>
      <c r="F1000">
        <v>9.99</v>
      </c>
      <c r="G1000" t="s">
        <v>1773</v>
      </c>
      <c r="H1000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$9.99</v>
      </c>
      <c r="I1000" t="str">
        <f>LEFT(Table2[[#This Row],[priceWithCurrency]],3)</f>
        <v xml:space="preserve">US </v>
      </c>
      <c r="J1000">
        <v>2</v>
      </c>
      <c r="K1000" t="str">
        <f>IF(Table2[[#This Row],[Available]]&lt;=50, "Less Stock", "Required stock" )</f>
        <v>Less Stock</v>
      </c>
      <c r="L1000">
        <f t="shared" si="15"/>
        <v>0</v>
      </c>
      <c r="M1000" t="s">
        <v>436</v>
      </c>
      <c r="N1000">
        <v>22</v>
      </c>
      <c r="O1000" t="s">
        <v>2956</v>
      </c>
      <c r="P1000" t="str">
        <f>RIGHT(RIGHT(Table2[[#This Row],[last Updated]],12),4)</f>
        <v xml:space="preserve"> PDT</v>
      </c>
      <c r="Q1000" t="s">
        <v>1667</v>
      </c>
    </row>
    <row r="1001" spans="1:17" x14ac:dyDescent="0.25">
      <c r="A1001" t="s">
        <v>2957</v>
      </c>
      <c r="B1001" t="str">
        <f>UPPER(Table2[[#This Row],[Brand]])</f>
        <v>ESTEE LAUDER</v>
      </c>
      <c r="C1001" t="str">
        <f>LOWER(Table2[[#This Row],[Brand]])</f>
        <v>estee lauder</v>
      </c>
      <c r="D1001" t="str">
        <f>PROPER(Table2[[#This Row],[Brand]])</f>
        <v>Estee Lauder</v>
      </c>
      <c r="E1001" t="s">
        <v>2958</v>
      </c>
      <c r="F1001">
        <v>17.489999999999998</v>
      </c>
      <c r="G1001" t="s">
        <v>2959</v>
      </c>
      <c r="H1001" t="str">
        <f>IF( ISNUMBER(FIND("/",Table2[[#This Row],[priceWithCurrency]])),  MID(Table2[[#This Row],[priceWithCurrency]],  FIND("$",Table2[[#This Row],[priceWithCurrency]]), FIND("/",Table2[[#This Row],[priceWithCurrency]]) - FIND("$",Table2[[#This Row],[priceWithCurrency]])    ),  MID(Table2[[#This Row],[priceWithCurrency]],   FIND("$",Table2[[#This Row],[priceWithCurrency]]),  LEN(Table2[[#This Row],[priceWithCurrency]]) - FIND("$",Table2[[#This Row],[priceWithCurrency]]) + 1 )
)</f>
        <v>$17.49</v>
      </c>
      <c r="I1001" t="str">
        <f>LEFT(Table2[[#This Row],[priceWithCurrency]],3)</f>
        <v xml:space="preserve">US </v>
      </c>
      <c r="J1001">
        <v>10</v>
      </c>
      <c r="K1001" t="str">
        <f>IF(Table2[[#This Row],[Available]]&lt;=50, "Less Stock", "Required stock" )</f>
        <v>Less Stock</v>
      </c>
      <c r="L1001">
        <f t="shared" si="15"/>
        <v>0</v>
      </c>
      <c r="M1001" t="s">
        <v>2102</v>
      </c>
      <c r="N1001">
        <v>24</v>
      </c>
      <c r="O1001" t="s">
        <v>2960</v>
      </c>
      <c r="P1001" t="str">
        <f>RIGHT(RIGHT(Table2[[#This Row],[last Updated]],12),4)</f>
        <v xml:space="preserve"> PST</v>
      </c>
      <c r="Q1001" t="s">
        <v>1987</v>
      </c>
    </row>
    <row r="1002" spans="1:17" x14ac:dyDescent="0.25">
      <c r="A1002" t="s">
        <v>2970</v>
      </c>
      <c r="Q1002">
        <f>SUBTOTAL(103,Table2[Item Location])</f>
        <v>1000</v>
      </c>
    </row>
  </sheetData>
  <phoneticPr fontId="5" type="noConversion"/>
  <conditionalFormatting sqref="K1:K1048576">
    <cfRule type="cellIs" dxfId="3" priority="1" operator="equal">
      <formula>"Required stock"</formula>
    </cfRule>
    <cfRule type="containsText" dxfId="2" priority="2" operator="containsText" text="Less Stock">
      <formula>NOT(ISERROR(SEARCH("Less Stock",K1)))</formula>
    </cfRule>
    <cfRule type="containsText" dxfId="1" priority="3" operator="containsText" text="Stock prediction">
      <formula>NOT(ISERROR(SEARCH("Stock prediction",K1)))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4AB71-4EED-4416-9F17-745E63328B54}">
  <dimension ref="B2:B4"/>
  <sheetViews>
    <sheetView workbookViewId="0">
      <selection activeCell="F25" sqref="F25"/>
    </sheetView>
  </sheetViews>
  <sheetFormatPr defaultRowHeight="15" x14ac:dyDescent="0.25"/>
  <sheetData>
    <row r="2" spans="2:2" ht="18" x14ac:dyDescent="0.25">
      <c r="B2" s="1" t="s">
        <v>2967</v>
      </c>
    </row>
    <row r="3" spans="2:2" ht="18" x14ac:dyDescent="0.25">
      <c r="B3" s="2" t="s">
        <v>2968</v>
      </c>
    </row>
    <row r="4" spans="2:2" ht="18" x14ac:dyDescent="0.25">
      <c r="B4" s="3" t="s">
        <v>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Mens perfume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Samyuktha Prasath</cp:lastModifiedBy>
  <dcterms:created xsi:type="dcterms:W3CDTF">2025-08-14T04:57:24Z</dcterms:created>
  <dcterms:modified xsi:type="dcterms:W3CDTF">2025-11-27T04:42:49Z</dcterms:modified>
</cp:coreProperties>
</file>